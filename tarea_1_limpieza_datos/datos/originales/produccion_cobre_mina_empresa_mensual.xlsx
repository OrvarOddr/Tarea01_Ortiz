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Boletín Mensual\PLANILLAS 2026\Carga Boletín Mensual\03 MAR\Estadísticas sitio web\Nueva web\"/>
    </mc:Choice>
  </mc:AlternateContent>
  <xr:revisionPtr revIDLastSave="0" documentId="13_ncr:1_{FB51FDC9-47F4-4351-959C-E85A814690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.Cu-Mina x Faena (2014+)" sheetId="4" r:id="rId1"/>
  </sheets>
  <definedNames>
    <definedName name="___pag03">#REF!</definedName>
    <definedName name="___pag04">#REF!</definedName>
    <definedName name="___pag040">#REF!</definedName>
    <definedName name="___pag08">#REF!</definedName>
    <definedName name="___PAG3">#REF!</definedName>
    <definedName name="___PAG6">#REF!</definedName>
    <definedName name="___PAG7">#REF!</definedName>
    <definedName name="___PAG8">#REF!</definedName>
    <definedName name="___PAG9">#REF!</definedName>
    <definedName name="__pag03">#REF!</definedName>
    <definedName name="__pag04">#REF!</definedName>
    <definedName name="__pag040">#REF!</definedName>
    <definedName name="__pag08">#REF!</definedName>
    <definedName name="__PAG3">#REF!</definedName>
    <definedName name="__PAG6">#REF!</definedName>
    <definedName name="__PAG7">#REF!</definedName>
    <definedName name="__PAG8">#REF!</definedName>
    <definedName name="__PAG9">#REF!</definedName>
    <definedName name="_A1">#REF!</definedName>
    <definedName name="_imp1">#REF!</definedName>
    <definedName name="_imp2">#REF!</definedName>
    <definedName name="_Key1" hidden="1">#REF!</definedName>
    <definedName name="_Order1" hidden="1">255</definedName>
    <definedName name="_Order2" hidden="1">255</definedName>
    <definedName name="_pag03">#REF!</definedName>
    <definedName name="_pag04">#REF!</definedName>
    <definedName name="_pag040">#REF!</definedName>
    <definedName name="_pag08">#REF!</definedName>
    <definedName name="_PAG3">#REF!</definedName>
    <definedName name="_PAG6">#REF!</definedName>
    <definedName name="_PAG7">#REF!</definedName>
    <definedName name="_PAG8">#REF!</definedName>
    <definedName name="_PAG9">#REF!</definedName>
    <definedName name="_Sort" hidden="1">#REF!</definedName>
    <definedName name="_xlnm.Print_Area" localSheetId="0">'Prod.Cu-Mina x Faena (2014+)'!$A$1:$AL$180</definedName>
    <definedName name="_xlnm.Print_Area">#REF!</definedName>
    <definedName name="_xlnm.Database">#REF!</definedName>
    <definedName name="China_Mo_Prod">#REF!</definedName>
    <definedName name="ExcelData">#REF!</definedName>
    <definedName name="France_Mo_Trade">#REF!</definedName>
    <definedName name="impres">#REF!</definedName>
    <definedName name="IMPRIM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UNIO">#REF!</definedName>
    <definedName name="Russia_Pb_Trade">#REF!</definedName>
    <definedName name="TABLA_II.17">#REF!</definedName>
    <definedName name="TABLA_II.19.">#REF!</definedName>
    <definedName name="TABLA_II.21">#REF!</definedName>
    <definedName name="TABLA_II.22.">#REF!</definedName>
    <definedName name="tmp">#REF!</definedName>
    <definedName name="World_Ag_Mine_Prod">#REF!</definedName>
    <definedName name="World_Mo_Mine_Pr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76" i="4" l="1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5" i="4" l="1"/>
  <c r="AR175" i="4" s="1"/>
  <c r="B174" i="4"/>
  <c r="AR174" i="4" s="1"/>
  <c r="B173" i="4"/>
  <c r="AR173" i="4" s="1"/>
  <c r="B172" i="4"/>
  <c r="AR172" i="4" s="1"/>
  <c r="B171" i="4"/>
  <c r="AR171" i="4" s="1"/>
  <c r="B170" i="4"/>
  <c r="AR170" i="4" s="1"/>
  <c r="B169" i="4"/>
  <c r="AR169" i="4" s="1"/>
  <c r="B168" i="4"/>
  <c r="AR168" i="4" s="1"/>
  <c r="B167" i="4"/>
  <c r="AR167" i="4" s="1"/>
  <c r="B166" i="4"/>
  <c r="AR166" i="4" s="1"/>
  <c r="B165" i="4"/>
  <c r="AR165" i="4" s="1"/>
  <c r="B164" i="4"/>
  <c r="M150" i="4"/>
  <c r="M137" i="4"/>
  <c r="M124" i="4"/>
  <c r="M111" i="4"/>
  <c r="M98" i="4"/>
  <c r="M85" i="4"/>
  <c r="M72" i="4"/>
  <c r="M59" i="4"/>
  <c r="M46" i="4"/>
  <c r="M33" i="4"/>
  <c r="M20" i="4"/>
  <c r="AP150" i="4"/>
  <c r="AO150" i="4"/>
  <c r="AN150" i="4"/>
  <c r="AM150" i="4"/>
  <c r="AL150" i="4"/>
  <c r="AK150" i="4"/>
  <c r="AH150" i="4"/>
  <c r="AJ150" i="4"/>
  <c r="AD150" i="4"/>
  <c r="V150" i="4"/>
  <c r="AF150" i="4"/>
  <c r="AI150" i="4"/>
  <c r="U150" i="4"/>
  <c r="AG150" i="4"/>
  <c r="L150" i="4"/>
  <c r="AB150" i="4"/>
  <c r="N150" i="4"/>
  <c r="AE150" i="4"/>
  <c r="AC150" i="4"/>
  <c r="AA150" i="4"/>
  <c r="T150" i="4"/>
  <c r="S150" i="4"/>
  <c r="Z150" i="4"/>
  <c r="O150" i="4"/>
  <c r="K150" i="4"/>
  <c r="I150" i="4"/>
  <c r="H150" i="4"/>
  <c r="G150" i="4"/>
  <c r="F150" i="4"/>
  <c r="E150" i="4"/>
  <c r="B148" i="4"/>
  <c r="AR148" i="4" s="1"/>
  <c r="B147" i="4"/>
  <c r="AR147" i="4" s="1"/>
  <c r="B146" i="4"/>
  <c r="AR146" i="4" s="1"/>
  <c r="B145" i="4"/>
  <c r="AR145" i="4" s="1"/>
  <c r="B144" i="4"/>
  <c r="AR144" i="4" s="1"/>
  <c r="B143" i="4"/>
  <c r="AR143" i="4" s="1"/>
  <c r="B142" i="4"/>
  <c r="AR142" i="4" s="1"/>
  <c r="B141" i="4"/>
  <c r="AR141" i="4" s="1"/>
  <c r="B140" i="4"/>
  <c r="AR140" i="4" s="1"/>
  <c r="B139" i="4"/>
  <c r="AR139" i="4" s="1"/>
  <c r="B138" i="4"/>
  <c r="AR138" i="4" s="1"/>
  <c r="AP137" i="4"/>
  <c r="AO137" i="4"/>
  <c r="AN137" i="4"/>
  <c r="AM137" i="4"/>
  <c r="AL137" i="4"/>
  <c r="AK137" i="4"/>
  <c r="AH137" i="4"/>
  <c r="AJ137" i="4"/>
  <c r="AD137" i="4"/>
  <c r="V137" i="4"/>
  <c r="AF137" i="4"/>
  <c r="AI137" i="4"/>
  <c r="U137" i="4"/>
  <c r="AG137" i="4"/>
  <c r="L137" i="4"/>
  <c r="AB137" i="4"/>
  <c r="N137" i="4"/>
  <c r="AE137" i="4"/>
  <c r="AC137" i="4"/>
  <c r="AA137" i="4"/>
  <c r="Y137" i="4"/>
  <c r="X137" i="4"/>
  <c r="W137" i="4"/>
  <c r="T137" i="4"/>
  <c r="S137" i="4"/>
  <c r="R137" i="4"/>
  <c r="Q137" i="4"/>
  <c r="P137" i="4"/>
  <c r="Z137" i="4"/>
  <c r="O137" i="4"/>
  <c r="K137" i="4"/>
  <c r="I137" i="4"/>
  <c r="H137" i="4"/>
  <c r="G137" i="4"/>
  <c r="F137" i="4"/>
  <c r="E137" i="4"/>
  <c r="D137" i="4"/>
  <c r="C137" i="4"/>
  <c r="B136" i="4"/>
  <c r="AR136" i="4" s="1"/>
  <c r="B135" i="4"/>
  <c r="AR135" i="4" s="1"/>
  <c r="B134" i="4"/>
  <c r="AR134" i="4" s="1"/>
  <c r="B133" i="4"/>
  <c r="AR133" i="4" s="1"/>
  <c r="B132" i="4"/>
  <c r="AR132" i="4" s="1"/>
  <c r="B131" i="4"/>
  <c r="AR131" i="4" s="1"/>
  <c r="B130" i="4"/>
  <c r="AR130" i="4" s="1"/>
  <c r="B129" i="4"/>
  <c r="AR129" i="4" s="1"/>
  <c r="B128" i="4"/>
  <c r="AR128" i="4" s="1"/>
  <c r="B127" i="4"/>
  <c r="AR127" i="4" s="1"/>
  <c r="B126" i="4"/>
  <c r="AR126" i="4" s="1"/>
  <c r="B125" i="4"/>
  <c r="AR125" i="4" s="1"/>
  <c r="AP124" i="4"/>
  <c r="AO124" i="4"/>
  <c r="AN124" i="4"/>
  <c r="AM124" i="4"/>
  <c r="AL124" i="4"/>
  <c r="AK124" i="4"/>
  <c r="AH124" i="4"/>
  <c r="AJ124" i="4"/>
  <c r="AD124" i="4"/>
  <c r="V124" i="4"/>
  <c r="AF124" i="4"/>
  <c r="AI124" i="4"/>
  <c r="U124" i="4"/>
  <c r="AG124" i="4"/>
  <c r="L124" i="4"/>
  <c r="AB124" i="4"/>
  <c r="N124" i="4"/>
  <c r="AE124" i="4"/>
  <c r="AC124" i="4"/>
  <c r="AA124" i="4"/>
  <c r="Y124" i="4"/>
  <c r="X124" i="4"/>
  <c r="W124" i="4"/>
  <c r="T124" i="4"/>
  <c r="S124" i="4"/>
  <c r="R124" i="4"/>
  <c r="Q124" i="4"/>
  <c r="P124" i="4"/>
  <c r="Z124" i="4"/>
  <c r="O124" i="4"/>
  <c r="K124" i="4"/>
  <c r="I124" i="4"/>
  <c r="H124" i="4"/>
  <c r="G124" i="4"/>
  <c r="F124" i="4"/>
  <c r="E124" i="4"/>
  <c r="D124" i="4"/>
  <c r="C124" i="4"/>
  <c r="B123" i="4"/>
  <c r="AR123" i="4" s="1"/>
  <c r="B122" i="4"/>
  <c r="AR122" i="4" s="1"/>
  <c r="B121" i="4"/>
  <c r="AR121" i="4" s="1"/>
  <c r="B120" i="4"/>
  <c r="AR120" i="4" s="1"/>
  <c r="B119" i="4"/>
  <c r="AR119" i="4" s="1"/>
  <c r="B118" i="4"/>
  <c r="AR118" i="4" s="1"/>
  <c r="B117" i="4"/>
  <c r="AR117" i="4" s="1"/>
  <c r="B116" i="4"/>
  <c r="AR116" i="4" s="1"/>
  <c r="B115" i="4"/>
  <c r="AR115" i="4" s="1"/>
  <c r="B114" i="4"/>
  <c r="AR114" i="4" s="1"/>
  <c r="B113" i="4"/>
  <c r="AR113" i="4" s="1"/>
  <c r="B112" i="4"/>
  <c r="AR112" i="4" s="1"/>
  <c r="AP111" i="4"/>
  <c r="AO111" i="4"/>
  <c r="AN111" i="4"/>
  <c r="AM111" i="4"/>
  <c r="AL111" i="4"/>
  <c r="AK111" i="4"/>
  <c r="AH111" i="4"/>
  <c r="AJ111" i="4"/>
  <c r="AD111" i="4"/>
  <c r="V111" i="4"/>
  <c r="AF111" i="4"/>
  <c r="AI111" i="4"/>
  <c r="U111" i="4"/>
  <c r="AG111" i="4"/>
  <c r="L111" i="4"/>
  <c r="AB111" i="4"/>
  <c r="N111" i="4"/>
  <c r="AE111" i="4"/>
  <c r="AC111" i="4"/>
  <c r="AA111" i="4"/>
  <c r="X111" i="4"/>
  <c r="W111" i="4"/>
  <c r="T111" i="4"/>
  <c r="S111" i="4"/>
  <c r="Q111" i="4"/>
  <c r="P111" i="4"/>
  <c r="Z111" i="4"/>
  <c r="O111" i="4"/>
  <c r="K111" i="4"/>
  <c r="I111" i="4"/>
  <c r="H111" i="4"/>
  <c r="G111" i="4"/>
  <c r="F111" i="4"/>
  <c r="E111" i="4"/>
  <c r="D111" i="4"/>
  <c r="C111" i="4"/>
  <c r="B110" i="4"/>
  <c r="AR110" i="4" s="1"/>
  <c r="B109" i="4"/>
  <c r="AR109" i="4" s="1"/>
  <c r="B108" i="4"/>
  <c r="AR108" i="4" s="1"/>
  <c r="B107" i="4"/>
  <c r="AR107" i="4" s="1"/>
  <c r="B106" i="4"/>
  <c r="AR106" i="4" s="1"/>
  <c r="B105" i="4"/>
  <c r="AR105" i="4" s="1"/>
  <c r="B104" i="4"/>
  <c r="AR104" i="4" s="1"/>
  <c r="B103" i="4"/>
  <c r="AR103" i="4" s="1"/>
  <c r="B102" i="4"/>
  <c r="AR102" i="4" s="1"/>
  <c r="B101" i="4"/>
  <c r="AR101" i="4" s="1"/>
  <c r="B100" i="4"/>
  <c r="AR100" i="4" s="1"/>
  <c r="B99" i="4"/>
  <c r="AR99" i="4" s="1"/>
  <c r="AP98" i="4"/>
  <c r="AO98" i="4"/>
  <c r="AN98" i="4"/>
  <c r="AM98" i="4"/>
  <c r="AL98" i="4"/>
  <c r="AK98" i="4"/>
  <c r="AH98" i="4"/>
  <c r="AJ98" i="4"/>
  <c r="AD98" i="4"/>
  <c r="V98" i="4"/>
  <c r="AF98" i="4"/>
  <c r="AI98" i="4"/>
  <c r="U98" i="4"/>
  <c r="AG98" i="4"/>
  <c r="L98" i="4"/>
  <c r="AB98" i="4"/>
  <c r="N98" i="4"/>
  <c r="AE98" i="4"/>
  <c r="AC98" i="4"/>
  <c r="AA98" i="4"/>
  <c r="X98" i="4"/>
  <c r="W98" i="4"/>
  <c r="T98" i="4"/>
  <c r="S98" i="4"/>
  <c r="Q98" i="4"/>
  <c r="P98" i="4"/>
  <c r="Z98" i="4"/>
  <c r="O98" i="4"/>
  <c r="K98" i="4"/>
  <c r="I98" i="4"/>
  <c r="H98" i="4"/>
  <c r="G98" i="4"/>
  <c r="F98" i="4"/>
  <c r="E98" i="4"/>
  <c r="D98" i="4"/>
  <c r="C98" i="4"/>
  <c r="B97" i="4"/>
  <c r="AR97" i="4" s="1"/>
  <c r="B96" i="4"/>
  <c r="AR96" i="4" s="1"/>
  <c r="B95" i="4"/>
  <c r="AR95" i="4" s="1"/>
  <c r="B94" i="4"/>
  <c r="AR94" i="4" s="1"/>
  <c r="B93" i="4"/>
  <c r="AR93" i="4" s="1"/>
  <c r="B92" i="4"/>
  <c r="AR92" i="4" s="1"/>
  <c r="B91" i="4"/>
  <c r="AR91" i="4" s="1"/>
  <c r="B90" i="4"/>
  <c r="AR90" i="4" s="1"/>
  <c r="B89" i="4"/>
  <c r="AR89" i="4" s="1"/>
  <c r="B88" i="4"/>
  <c r="AR88" i="4" s="1"/>
  <c r="B87" i="4"/>
  <c r="AR87" i="4" s="1"/>
  <c r="B86" i="4"/>
  <c r="AR86" i="4" s="1"/>
  <c r="AP85" i="4"/>
  <c r="AO85" i="4"/>
  <c r="AN85" i="4"/>
  <c r="AM85" i="4"/>
  <c r="AL85" i="4"/>
  <c r="AK85" i="4"/>
  <c r="AH85" i="4"/>
  <c r="AJ85" i="4"/>
  <c r="AD85" i="4"/>
  <c r="V85" i="4"/>
  <c r="AF85" i="4"/>
  <c r="AI85" i="4"/>
  <c r="U85" i="4"/>
  <c r="AG85" i="4"/>
  <c r="L85" i="4"/>
  <c r="AB85" i="4"/>
  <c r="N85" i="4"/>
  <c r="AE85" i="4"/>
  <c r="AC85" i="4"/>
  <c r="AA85" i="4"/>
  <c r="X85" i="4"/>
  <c r="W85" i="4"/>
  <c r="T85" i="4"/>
  <c r="S85" i="4"/>
  <c r="Q85" i="4"/>
  <c r="P85" i="4"/>
  <c r="Z85" i="4"/>
  <c r="O85" i="4"/>
  <c r="K85" i="4"/>
  <c r="I85" i="4"/>
  <c r="H85" i="4"/>
  <c r="G85" i="4"/>
  <c r="F85" i="4"/>
  <c r="E85" i="4"/>
  <c r="D85" i="4"/>
  <c r="C85" i="4"/>
  <c r="B84" i="4"/>
  <c r="AR84" i="4" s="1"/>
  <c r="B83" i="4"/>
  <c r="AR83" i="4" s="1"/>
  <c r="B82" i="4"/>
  <c r="AR82" i="4" s="1"/>
  <c r="B81" i="4"/>
  <c r="AR81" i="4" s="1"/>
  <c r="B80" i="4"/>
  <c r="AR80" i="4" s="1"/>
  <c r="B79" i="4"/>
  <c r="AR79" i="4" s="1"/>
  <c r="B78" i="4"/>
  <c r="AR78" i="4" s="1"/>
  <c r="B77" i="4"/>
  <c r="AR77" i="4" s="1"/>
  <c r="B76" i="4"/>
  <c r="AR76" i="4" s="1"/>
  <c r="B75" i="4"/>
  <c r="AR75" i="4" s="1"/>
  <c r="B74" i="4"/>
  <c r="AR74" i="4" s="1"/>
  <c r="B73" i="4"/>
  <c r="AR73" i="4" s="1"/>
  <c r="AP72" i="4"/>
  <c r="AO72" i="4"/>
  <c r="AN72" i="4"/>
  <c r="AM72" i="4"/>
  <c r="AL72" i="4"/>
  <c r="AK72" i="4"/>
  <c r="AH72" i="4"/>
  <c r="AJ72" i="4"/>
  <c r="AD72" i="4"/>
  <c r="V72" i="4"/>
  <c r="AF72" i="4"/>
  <c r="AI72" i="4"/>
  <c r="U72" i="4"/>
  <c r="AG72" i="4"/>
  <c r="L72" i="4"/>
  <c r="AB72" i="4"/>
  <c r="N72" i="4"/>
  <c r="AE72" i="4"/>
  <c r="AC72" i="4"/>
  <c r="AA72" i="4"/>
  <c r="X72" i="4"/>
  <c r="W72" i="4"/>
  <c r="T72" i="4"/>
  <c r="S72" i="4"/>
  <c r="Q72" i="4"/>
  <c r="P72" i="4"/>
  <c r="Z72" i="4"/>
  <c r="O72" i="4"/>
  <c r="K72" i="4"/>
  <c r="I72" i="4"/>
  <c r="H72" i="4"/>
  <c r="G72" i="4"/>
  <c r="F72" i="4"/>
  <c r="E72" i="4"/>
  <c r="D72" i="4"/>
  <c r="C72" i="4"/>
  <c r="B71" i="4"/>
  <c r="AR71" i="4" s="1"/>
  <c r="B70" i="4"/>
  <c r="AR70" i="4" s="1"/>
  <c r="B69" i="4"/>
  <c r="AR69" i="4" s="1"/>
  <c r="B68" i="4"/>
  <c r="AR68" i="4" s="1"/>
  <c r="B67" i="4"/>
  <c r="AR67" i="4" s="1"/>
  <c r="B66" i="4"/>
  <c r="AR66" i="4" s="1"/>
  <c r="B65" i="4"/>
  <c r="AR65" i="4" s="1"/>
  <c r="B64" i="4"/>
  <c r="AR64" i="4" s="1"/>
  <c r="B63" i="4"/>
  <c r="AR63" i="4" s="1"/>
  <c r="B62" i="4"/>
  <c r="AR62" i="4" s="1"/>
  <c r="B61" i="4"/>
  <c r="AR61" i="4" s="1"/>
  <c r="B60" i="4"/>
  <c r="AR60" i="4" s="1"/>
  <c r="AP59" i="4"/>
  <c r="AO59" i="4"/>
  <c r="AN59" i="4"/>
  <c r="AM59" i="4"/>
  <c r="AL59" i="4"/>
  <c r="AK59" i="4"/>
  <c r="AH59" i="4"/>
  <c r="AJ59" i="4"/>
  <c r="AD59" i="4"/>
  <c r="V59" i="4"/>
  <c r="AF59" i="4"/>
  <c r="AI59" i="4"/>
  <c r="U59" i="4"/>
  <c r="AG59" i="4"/>
  <c r="L59" i="4"/>
  <c r="AB59" i="4"/>
  <c r="N59" i="4"/>
  <c r="AE59" i="4"/>
  <c r="AC59" i="4"/>
  <c r="AA59" i="4"/>
  <c r="X59" i="4"/>
  <c r="W59" i="4"/>
  <c r="T59" i="4"/>
  <c r="S59" i="4"/>
  <c r="Q59" i="4"/>
  <c r="P59" i="4"/>
  <c r="Z59" i="4"/>
  <c r="O59" i="4"/>
  <c r="K59" i="4"/>
  <c r="I59" i="4"/>
  <c r="H59" i="4"/>
  <c r="G59" i="4"/>
  <c r="F59" i="4"/>
  <c r="E59" i="4"/>
  <c r="D59" i="4"/>
  <c r="C59" i="4"/>
  <c r="B58" i="4"/>
  <c r="AR58" i="4" s="1"/>
  <c r="B57" i="4"/>
  <c r="AR57" i="4" s="1"/>
  <c r="B56" i="4"/>
  <c r="AR56" i="4" s="1"/>
  <c r="B55" i="4"/>
  <c r="AR55" i="4" s="1"/>
  <c r="B54" i="4"/>
  <c r="AR54" i="4" s="1"/>
  <c r="B53" i="4"/>
  <c r="AR53" i="4" s="1"/>
  <c r="B52" i="4"/>
  <c r="AR52" i="4" s="1"/>
  <c r="B51" i="4"/>
  <c r="AR51" i="4" s="1"/>
  <c r="B50" i="4"/>
  <c r="AR50" i="4" s="1"/>
  <c r="B49" i="4"/>
  <c r="AR49" i="4" s="1"/>
  <c r="B48" i="4"/>
  <c r="AR48" i="4" s="1"/>
  <c r="B47" i="4"/>
  <c r="AR47" i="4" s="1"/>
  <c r="AP46" i="4"/>
  <c r="AO46" i="4"/>
  <c r="AN46" i="4"/>
  <c r="AM46" i="4"/>
  <c r="AL46" i="4"/>
  <c r="AK46" i="4"/>
  <c r="AH46" i="4"/>
  <c r="AJ46" i="4"/>
  <c r="AD46" i="4"/>
  <c r="V46" i="4"/>
  <c r="AF46" i="4"/>
  <c r="AI46" i="4"/>
  <c r="U46" i="4"/>
  <c r="AG46" i="4"/>
  <c r="L46" i="4"/>
  <c r="AB46" i="4"/>
  <c r="N46" i="4"/>
  <c r="AE46" i="4"/>
  <c r="AC46" i="4"/>
  <c r="AA46" i="4"/>
  <c r="X46" i="4"/>
  <c r="W46" i="4"/>
  <c r="T46" i="4"/>
  <c r="S46" i="4"/>
  <c r="Q46" i="4"/>
  <c r="P46" i="4"/>
  <c r="Z46" i="4"/>
  <c r="O46" i="4"/>
  <c r="K46" i="4"/>
  <c r="I46" i="4"/>
  <c r="H46" i="4"/>
  <c r="G46" i="4"/>
  <c r="F46" i="4"/>
  <c r="E46" i="4"/>
  <c r="D46" i="4"/>
  <c r="C46" i="4"/>
  <c r="B45" i="4"/>
  <c r="AR45" i="4" s="1"/>
  <c r="B44" i="4"/>
  <c r="AR44" i="4" s="1"/>
  <c r="B43" i="4"/>
  <c r="AR43" i="4" s="1"/>
  <c r="B42" i="4"/>
  <c r="AR42" i="4" s="1"/>
  <c r="B41" i="4"/>
  <c r="AR41" i="4" s="1"/>
  <c r="B40" i="4"/>
  <c r="AR40" i="4" s="1"/>
  <c r="B39" i="4"/>
  <c r="AR39" i="4" s="1"/>
  <c r="B38" i="4"/>
  <c r="AR38" i="4" s="1"/>
  <c r="B37" i="4"/>
  <c r="AR37" i="4" s="1"/>
  <c r="B36" i="4"/>
  <c r="AR36" i="4" s="1"/>
  <c r="B35" i="4"/>
  <c r="AR35" i="4" s="1"/>
  <c r="B34" i="4"/>
  <c r="AR34" i="4" s="1"/>
  <c r="AP33" i="4"/>
  <c r="AO33" i="4"/>
  <c r="AN33" i="4"/>
  <c r="AM33" i="4"/>
  <c r="AL33" i="4"/>
  <c r="AK33" i="4"/>
  <c r="AH33" i="4"/>
  <c r="AJ33" i="4"/>
  <c r="AD33" i="4"/>
  <c r="V33" i="4"/>
  <c r="AF33" i="4"/>
  <c r="AI33" i="4"/>
  <c r="U33" i="4"/>
  <c r="AG33" i="4"/>
  <c r="L33" i="4"/>
  <c r="AB33" i="4"/>
  <c r="N33" i="4"/>
  <c r="AE33" i="4"/>
  <c r="AC33" i="4"/>
  <c r="AA33" i="4"/>
  <c r="X33" i="4"/>
  <c r="W33" i="4"/>
  <c r="T33" i="4"/>
  <c r="S33" i="4"/>
  <c r="Q33" i="4"/>
  <c r="P33" i="4"/>
  <c r="Z33" i="4"/>
  <c r="O33" i="4"/>
  <c r="K33" i="4"/>
  <c r="I33" i="4"/>
  <c r="H33" i="4"/>
  <c r="G33" i="4"/>
  <c r="F33" i="4"/>
  <c r="E33" i="4"/>
  <c r="D33" i="4"/>
  <c r="C33" i="4"/>
  <c r="B32" i="4"/>
  <c r="AR32" i="4" s="1"/>
  <c r="B31" i="4"/>
  <c r="AR31" i="4" s="1"/>
  <c r="B30" i="4"/>
  <c r="AR30" i="4" s="1"/>
  <c r="B29" i="4"/>
  <c r="AR29" i="4" s="1"/>
  <c r="B28" i="4"/>
  <c r="AR28" i="4" s="1"/>
  <c r="B27" i="4"/>
  <c r="AR27" i="4" s="1"/>
  <c r="B26" i="4"/>
  <c r="AR26" i="4" s="1"/>
  <c r="B25" i="4"/>
  <c r="AR25" i="4" s="1"/>
  <c r="B24" i="4"/>
  <c r="AR24" i="4" s="1"/>
  <c r="B23" i="4"/>
  <c r="AR23" i="4" s="1"/>
  <c r="B22" i="4"/>
  <c r="AR22" i="4" s="1"/>
  <c r="B21" i="4"/>
  <c r="AR21" i="4" s="1"/>
  <c r="AP20" i="4"/>
  <c r="AO20" i="4"/>
  <c r="AN20" i="4"/>
  <c r="AM20" i="4"/>
  <c r="AL20" i="4"/>
  <c r="AK20" i="4"/>
  <c r="AH20" i="4"/>
  <c r="AJ20" i="4"/>
  <c r="AD20" i="4"/>
  <c r="V20" i="4"/>
  <c r="AF20" i="4"/>
  <c r="AI20" i="4"/>
  <c r="U20" i="4"/>
  <c r="AG20" i="4"/>
  <c r="L20" i="4"/>
  <c r="AB20" i="4"/>
  <c r="N20" i="4"/>
  <c r="AE20" i="4"/>
  <c r="AC20" i="4"/>
  <c r="AA20" i="4"/>
  <c r="X20" i="4"/>
  <c r="W20" i="4"/>
  <c r="T20" i="4"/>
  <c r="S20" i="4"/>
  <c r="Q20" i="4"/>
  <c r="P20" i="4"/>
  <c r="Z20" i="4"/>
  <c r="O20" i="4"/>
  <c r="K20" i="4"/>
  <c r="I20" i="4"/>
  <c r="H20" i="4"/>
  <c r="G20" i="4"/>
  <c r="F20" i="4"/>
  <c r="E20" i="4"/>
  <c r="D20" i="4"/>
  <c r="C20" i="4"/>
  <c r="B19" i="4"/>
  <c r="AR19" i="4" s="1"/>
  <c r="B18" i="4"/>
  <c r="AR18" i="4" s="1"/>
  <c r="B17" i="4"/>
  <c r="AR17" i="4" s="1"/>
  <c r="B16" i="4"/>
  <c r="AR16" i="4" s="1"/>
  <c r="B15" i="4"/>
  <c r="AR15" i="4" s="1"/>
  <c r="B14" i="4"/>
  <c r="AR14" i="4" s="1"/>
  <c r="B13" i="4"/>
  <c r="AR13" i="4" s="1"/>
  <c r="B12" i="4"/>
  <c r="AR12" i="4" s="1"/>
  <c r="B11" i="4"/>
  <c r="AR11" i="4" s="1"/>
  <c r="B10" i="4"/>
  <c r="AR10" i="4" s="1"/>
  <c r="B9" i="4"/>
  <c r="AR9" i="4" s="1"/>
  <c r="B8" i="4"/>
  <c r="AR8" i="4" s="1"/>
  <c r="B176" i="4" l="1"/>
  <c r="AR164" i="4"/>
  <c r="AR176" i="4" s="1"/>
  <c r="B159" i="4"/>
  <c r="AR159" i="4" s="1"/>
  <c r="B158" i="4"/>
  <c r="AR158" i="4" s="1"/>
  <c r="B155" i="4"/>
  <c r="AR155" i="4" s="1"/>
  <c r="B160" i="4"/>
  <c r="AR160" i="4" s="1"/>
  <c r="P163" i="4"/>
  <c r="AA163" i="4"/>
  <c r="U163" i="4"/>
  <c r="AK163" i="4"/>
  <c r="B162" i="4"/>
  <c r="AR162" i="4" s="1"/>
  <c r="M163" i="4"/>
  <c r="F163" i="4"/>
  <c r="B161" i="4"/>
  <c r="AR161" i="4" s="1"/>
  <c r="N163" i="4"/>
  <c r="Y72" i="4"/>
  <c r="S163" i="4"/>
  <c r="AE163" i="4"/>
  <c r="V163" i="4"/>
  <c r="R111" i="4"/>
  <c r="I163" i="4"/>
  <c r="B20" i="4"/>
  <c r="R46" i="4"/>
  <c r="G163" i="4"/>
  <c r="Y59" i="4"/>
  <c r="Y20" i="4"/>
  <c r="Y98" i="4"/>
  <c r="Y33" i="4"/>
  <c r="B72" i="4"/>
  <c r="R72" i="4"/>
  <c r="Y85" i="4"/>
  <c r="R98" i="4"/>
  <c r="Y111" i="4"/>
  <c r="R20" i="4"/>
  <c r="R59" i="4"/>
  <c r="B33" i="4"/>
  <c r="R33" i="4"/>
  <c r="Y46" i="4"/>
  <c r="B59" i="4"/>
  <c r="B46" i="4"/>
  <c r="B85" i="4"/>
  <c r="B98" i="4"/>
  <c r="R85" i="4"/>
  <c r="B111" i="4"/>
  <c r="B124" i="4"/>
  <c r="Q150" i="4"/>
  <c r="B137" i="4"/>
  <c r="R150" i="4"/>
  <c r="W150" i="4"/>
  <c r="X150" i="4"/>
  <c r="D150" i="4"/>
  <c r="B149" i="4"/>
  <c r="AR149" i="4" s="1"/>
  <c r="AR150" i="4" s="1"/>
  <c r="Y150" i="4"/>
  <c r="P150" i="4"/>
  <c r="B151" i="4"/>
  <c r="AR151" i="4" s="1"/>
  <c r="B152" i="4"/>
  <c r="AR152" i="4" s="1"/>
  <c r="B153" i="4"/>
  <c r="AR153" i="4" s="1"/>
  <c r="B154" i="4"/>
  <c r="AR154" i="4" s="1"/>
  <c r="H163" i="4"/>
  <c r="AI163" i="4"/>
  <c r="C163" i="4"/>
  <c r="K163" i="4"/>
  <c r="W163" i="4"/>
  <c r="AB163" i="4"/>
  <c r="AJ163" i="4"/>
  <c r="AO163" i="4"/>
  <c r="AF163" i="4"/>
  <c r="C150" i="4"/>
  <c r="D163" i="4"/>
  <c r="O163" i="4"/>
  <c r="X163" i="4"/>
  <c r="L163" i="4"/>
  <c r="AH163" i="4"/>
  <c r="AP163" i="4"/>
  <c r="B157" i="4"/>
  <c r="AR157" i="4" s="1"/>
  <c r="Q163" i="4"/>
  <c r="AD163" i="4"/>
  <c r="E163" i="4"/>
  <c r="Z163" i="4"/>
  <c r="Y163" i="4"/>
  <c r="AG163" i="4"/>
  <c r="R163" i="4"/>
  <c r="AL163" i="4"/>
  <c r="T163" i="4"/>
  <c r="AM163" i="4"/>
  <c r="B156" i="4"/>
  <c r="AR156" i="4" s="1"/>
  <c r="AN163" i="4"/>
  <c r="AC163" i="4"/>
  <c r="AR137" i="4" l="1"/>
  <c r="AR72" i="4"/>
  <c r="AR46" i="4"/>
  <c r="AR20" i="4"/>
  <c r="J124" i="4"/>
  <c r="AR111" i="4"/>
  <c r="AR85" i="4"/>
  <c r="AR124" i="4"/>
  <c r="J163" i="4"/>
  <c r="J111" i="4"/>
  <c r="AR59" i="4"/>
  <c r="J20" i="4"/>
  <c r="J150" i="4"/>
  <c r="AR98" i="4"/>
  <c r="J72" i="4"/>
  <c r="J98" i="4"/>
  <c r="B163" i="4"/>
  <c r="J59" i="4"/>
  <c r="AR33" i="4"/>
  <c r="B150" i="4"/>
  <c r="J137" i="4"/>
  <c r="J85" i="4"/>
  <c r="J46" i="4"/>
  <c r="J33" i="4"/>
  <c r="AR163" i="4" l="1"/>
</calcChain>
</file>

<file path=xl/sharedStrings.xml><?xml version="1.0" encoding="utf-8"?>
<sst xmlns="http://schemas.openxmlformats.org/spreadsheetml/2006/main" count="61" uniqueCount="61">
  <si>
    <t>Salvador</t>
  </si>
  <si>
    <t>Andina</t>
  </si>
  <si>
    <t>Total Codelco</t>
  </si>
  <si>
    <t>Escondida</t>
  </si>
  <si>
    <t>Collahuasi</t>
  </si>
  <si>
    <t>Los Pelambres</t>
  </si>
  <si>
    <t>El Abra</t>
  </si>
  <si>
    <t>Candelaria</t>
  </si>
  <si>
    <t>Zaldívar</t>
  </si>
  <si>
    <t>Cerro Colorado</t>
  </si>
  <si>
    <t>Quebrada Blanca</t>
  </si>
  <si>
    <t>Lomas Bayas</t>
  </si>
  <si>
    <t>Michilla</t>
  </si>
  <si>
    <t>Spence</t>
  </si>
  <si>
    <t>Ministro Hales</t>
  </si>
  <si>
    <t>Caserones</t>
  </si>
  <si>
    <t>Sierra Gorda</t>
  </si>
  <si>
    <t>Antucoya</t>
  </si>
  <si>
    <t>Andacollo</t>
  </si>
  <si>
    <t>Chuqui y R.Tomic</t>
  </si>
  <si>
    <t>Chuquicamata</t>
  </si>
  <si>
    <t>Los Bronces</t>
  </si>
  <si>
    <t>El Soldado</t>
  </si>
  <si>
    <t>Mantos Blancos</t>
  </si>
  <si>
    <t>Mantoverde</t>
  </si>
  <si>
    <t>Atacama Kozan</t>
  </si>
  <si>
    <t>Haldeman</t>
  </si>
  <si>
    <t>Tres Valles</t>
  </si>
  <si>
    <t>Franke</t>
  </si>
  <si>
    <t>Cerro Negro</t>
  </si>
  <si>
    <t>Pampa Camarones</t>
  </si>
  <si>
    <t>Enami (Plantas)</t>
  </si>
  <si>
    <t>TOTAL CHILE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</si>
  <si>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</si>
  <si>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</si>
  <si>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</si>
  <si>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</si>
  <si>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</si>
  <si>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</si>
  <si>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</si>
  <si>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</si>
  <si>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</si>
  <si>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</si>
  <si>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</si>
  <si>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Ojos del Salado</t>
  </si>
  <si>
    <t>Centinela (óxidos)</t>
  </si>
  <si>
    <t>Centinela (súlfuros)</t>
  </si>
  <si>
    <t>Dirección de Estudios y Políticas Públicas</t>
  </si>
  <si>
    <t>PRODUCCION CHILENA DE COBRE DE MINA COMERCIABLE  POR EMPRESA</t>
  </si>
  <si>
    <t>CHILEAN COPPER MINE PRODUCTION BY COMPANY</t>
  </si>
  <si>
    <t>(Miles de T.M. de cobre fino) / (Thousand metric tons of fine copper)</t>
  </si>
  <si>
    <t>Comisión Chilena del Cobre</t>
  </si>
  <si>
    <t xml:space="preserve">mes-año </t>
  </si>
  <si>
    <t>Fuente / Source: COCHILCO, sobre la base de información proporcionada por las empresas / Chilean Copper Commission, based on company reports.</t>
  </si>
  <si>
    <t>Radomiro Tomic</t>
  </si>
  <si>
    <t>Angloamerican Sur</t>
  </si>
  <si>
    <t>Gabriela Mistral</t>
  </si>
  <si>
    <t>Capstone Copper</t>
  </si>
  <si>
    <t>Altos de Punitaqui</t>
  </si>
  <si>
    <t>El Teniente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</si>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</sst>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#,##0.0"/>
    <numFmt numFmtId="165" formatCode="0.0"/>
    <numFmt numFmtId="166" formatCode="0.0%"/>
    <numFmt numFmtId="167" formatCode="mmm\ yyyy"/>
    <numFmt numFmtId="168" formatCode="0.000"/>
    <numFmt numFmtId="169" formatCode="#,##0.0000000"/>
    <numFmt numFmtId="170" formatCode="#,##0.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4"/>
      <color rgb="FF7030A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theme="0" tint="-0.499984740745262"/>
      <name val="Arial"/>
      <family val="2"/>
    </font>
    <font>
      <sz val="12"/>
      <color theme="4" tint="-0.249977111117893"/>
      <name val="Arial"/>
      <family val="2"/>
    </font>
    <font>
      <sz val="12"/>
      <color theme="3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D86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0" fontId="3" fillId="0" borderId="0" xfId="2" applyAlignment="1">
      <alignment horizontal="right"/>
    </xf>
    <xf numFmtId="3" fontId="3" fillId="0" borderId="0" xfId="2" applyNumberFormat="1" applyAlignment="1">
      <alignment horizontal="right"/>
    </xf>
    <xf numFmtId="1" fontId="3" fillId="0" borderId="0" xfId="2" applyNumberFormat="1" applyAlignment="1">
      <alignment horizontal="right"/>
    </xf>
    <xf numFmtId="0" fontId="3" fillId="0" borderId="0" xfId="2"/>
    <xf numFmtId="0" fontId="4" fillId="0" borderId="0" xfId="2" applyFont="1"/>
    <xf numFmtId="0" fontId="3" fillId="0" borderId="0" xfId="2" applyAlignment="1">
      <alignment horizontal="left"/>
    </xf>
    <xf numFmtId="0" fontId="4" fillId="0" borderId="0" xfId="2" applyFont="1" applyAlignment="1">
      <alignment horizontal="center"/>
    </xf>
    <xf numFmtId="0" fontId="3" fillId="0" borderId="0" xfId="2" applyAlignment="1">
      <alignment horizontal="center"/>
    </xf>
    <xf numFmtId="0" fontId="6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166" fontId="2" fillId="0" borderId="0" xfId="3" applyNumberFormat="1" applyFont="1" applyAlignment="1">
      <alignment horizontal="left"/>
    </xf>
    <xf numFmtId="9" fontId="2" fillId="0" borderId="0" xfId="3" applyFont="1" applyAlignment="1">
      <alignment horizontal="left"/>
    </xf>
    <xf numFmtId="0" fontId="9" fillId="2" borderId="3" xfId="2" applyFont="1" applyFill="1" applyBorder="1" applyAlignment="1">
      <alignment horizontal="center" vertical="center" wrapText="1"/>
    </xf>
    <xf numFmtId="164" fontId="8" fillId="0" borderId="0" xfId="2" applyNumberFormat="1" applyFont="1" applyAlignment="1">
      <alignment horizontal="right"/>
    </xf>
    <xf numFmtId="164" fontId="8" fillId="0" borderId="4" xfId="2" applyNumberFormat="1" applyFont="1" applyBorder="1" applyAlignment="1">
      <alignment horizontal="right"/>
    </xf>
    <xf numFmtId="164" fontId="7" fillId="0" borderId="0" xfId="2" applyNumberFormat="1" applyFont="1" applyAlignment="1">
      <alignment horizontal="right"/>
    </xf>
    <xf numFmtId="164" fontId="8" fillId="0" borderId="4" xfId="2" applyNumberFormat="1" applyFont="1" applyBorder="1"/>
    <xf numFmtId="164" fontId="9" fillId="3" borderId="5" xfId="2" applyNumberFormat="1" applyFont="1" applyFill="1" applyBorder="1" applyAlignment="1">
      <alignment horizontal="right"/>
    </xf>
    <xf numFmtId="164" fontId="9" fillId="3" borderId="1" xfId="2" applyNumberFormat="1" applyFont="1" applyFill="1" applyBorder="1"/>
    <xf numFmtId="164" fontId="9" fillId="3" borderId="1" xfId="2" applyNumberFormat="1" applyFont="1" applyFill="1" applyBorder="1" applyAlignment="1">
      <alignment horizontal="right"/>
    </xf>
    <xf numFmtId="164" fontId="10" fillId="3" borderId="2" xfId="2" applyNumberFormat="1" applyFont="1" applyFill="1" applyBorder="1" applyAlignment="1">
      <alignment horizontal="right"/>
    </xf>
    <xf numFmtId="164" fontId="11" fillId="0" borderId="0" xfId="2" applyNumberFormat="1" applyFont="1" applyAlignment="1">
      <alignment horizontal="right"/>
    </xf>
    <xf numFmtId="165" fontId="8" fillId="0" borderId="0" xfId="1" applyNumberFormat="1" applyFont="1"/>
    <xf numFmtId="164" fontId="8" fillId="0" borderId="0" xfId="2" applyNumberFormat="1" applyFont="1"/>
    <xf numFmtId="165" fontId="11" fillId="0" borderId="0" xfId="1" applyNumberFormat="1" applyFont="1"/>
    <xf numFmtId="165" fontId="8" fillId="0" borderId="0" xfId="2" applyNumberFormat="1" applyFont="1" applyAlignment="1">
      <alignment horizontal="right"/>
    </xf>
    <xf numFmtId="165" fontId="8" fillId="0" borderId="4" xfId="2" applyNumberFormat="1" applyFont="1" applyBorder="1" applyAlignment="1">
      <alignment horizontal="right"/>
    </xf>
    <xf numFmtId="49" fontId="8" fillId="0" borderId="0" xfId="1" applyNumberFormat="1" applyFont="1"/>
    <xf numFmtId="0" fontId="8" fillId="0" borderId="0" xfId="1" applyFont="1"/>
    <xf numFmtId="164" fontId="3" fillId="0" borderId="0" xfId="2" applyNumberFormat="1" applyAlignment="1">
      <alignment horizontal="right"/>
    </xf>
    <xf numFmtId="164" fontId="5" fillId="0" borderId="0" xfId="2" applyNumberFormat="1" applyFont="1" applyAlignment="1">
      <alignment horizontal="right"/>
    </xf>
    <xf numFmtId="0" fontId="7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3" fontId="4" fillId="0" borderId="0" xfId="2" applyNumberFormat="1" applyFont="1" applyAlignment="1">
      <alignment horizontal="right"/>
    </xf>
    <xf numFmtId="0" fontId="10" fillId="2" borderId="1" xfId="2" applyFont="1" applyFill="1" applyBorder="1" applyAlignment="1">
      <alignment horizontal="center" vertical="center" wrapText="1"/>
    </xf>
    <xf numFmtId="168" fontId="3" fillId="0" borderId="0" xfId="2" applyNumberFormat="1" applyAlignment="1">
      <alignment horizontal="right"/>
    </xf>
    <xf numFmtId="0" fontId="10" fillId="2" borderId="3" xfId="2" applyFont="1" applyFill="1" applyBorder="1" applyAlignment="1">
      <alignment horizontal="center" vertical="center" wrapText="1"/>
    </xf>
    <xf numFmtId="167" fontId="12" fillId="0" borderId="7" xfId="1" applyNumberFormat="1" applyFont="1" applyBorder="1" applyAlignment="1">
      <alignment horizontal="left"/>
    </xf>
    <xf numFmtId="49" fontId="10" fillId="3" borderId="1" xfId="1" applyNumberFormat="1" applyFont="1" applyFill="1" applyBorder="1" applyAlignment="1">
      <alignment horizontal="left"/>
    </xf>
    <xf numFmtId="0" fontId="1" fillId="0" borderId="0" xfId="2" applyFont="1" applyAlignment="1">
      <alignment horizontal="left"/>
    </xf>
    <xf numFmtId="169" fontId="2" fillId="0" borderId="0" xfId="2" applyNumberFormat="1" applyFont="1" applyAlignment="1">
      <alignment horizontal="right"/>
    </xf>
    <xf numFmtId="164" fontId="7" fillId="0" borderId="8" xfId="2" applyNumberFormat="1" applyFont="1" applyBorder="1" applyAlignment="1">
      <alignment horizontal="right"/>
    </xf>
    <xf numFmtId="164" fontId="8" fillId="0" borderId="8" xfId="2" applyNumberFormat="1" applyFont="1" applyBorder="1" applyAlignment="1">
      <alignment horizontal="right"/>
    </xf>
    <xf numFmtId="164" fontId="8" fillId="0" borderId="8" xfId="2" applyNumberFormat="1" applyFont="1" applyBorder="1"/>
    <xf numFmtId="164" fontId="3" fillId="0" borderId="8" xfId="2" applyNumberFormat="1" applyBorder="1" applyAlignment="1">
      <alignment horizontal="right"/>
    </xf>
    <xf numFmtId="164" fontId="4" fillId="0" borderId="8" xfId="2" applyNumberFormat="1" applyFont="1" applyBorder="1" applyAlignment="1">
      <alignment horizontal="right"/>
    </xf>
    <xf numFmtId="0" fontId="3" fillId="0" borderId="8" xfId="2" applyBorder="1" applyAlignment="1">
      <alignment horizontal="right"/>
    </xf>
    <xf numFmtId="164" fontId="13" fillId="0" borderId="8" xfId="2" applyNumberFormat="1" applyFont="1" applyBorder="1" applyAlignment="1">
      <alignment horizontal="right"/>
    </xf>
    <xf numFmtId="0" fontId="10" fillId="2" borderId="6" xfId="2" applyFont="1" applyFill="1" applyBorder="1" applyAlignment="1">
      <alignment horizontal="left" vertical="center" wrapText="1"/>
    </xf>
    <xf numFmtId="0" fontId="9" fillId="0" borderId="0" xfId="2" applyFont="1" applyAlignment="1">
      <alignment horizontal="right" wrapText="1"/>
    </xf>
    <xf numFmtId="170" fontId="3" fillId="0" borderId="0" xfId="2" applyNumberFormat="1" applyAlignment="1">
      <alignment horizontal="right"/>
    </xf>
    <xf numFmtId="164" fontId="8" fillId="0" borderId="8" xfId="2" applyNumberFormat="1" applyFont="1" applyBorder="1" applyAlignment="1">
      <alignment horizontal="left"/>
    </xf>
    <xf numFmtId="49" fontId="8" fillId="0" borderId="8" xfId="1" applyNumberFormat="1" applyFont="1" applyBorder="1" applyAlignment="1">
      <alignment horizontal="left"/>
    </xf>
    <xf numFmtId="49" fontId="8" fillId="0" borderId="8" xfId="1" applyNumberFormat="1" applyFont="1" applyBorder="1"/>
    <xf numFmtId="49" fontId="8" fillId="0" borderId="9" xfId="1" applyNumberFormat="1" applyFont="1" applyBorder="1"/>
    <xf numFmtId="49" fontId="8" fillId="0" borderId="9" xfId="2" applyNumberFormat="1" applyFont="1" applyBorder="1" applyAlignment="1">
      <alignment horizontal="right"/>
    </xf>
    <xf numFmtId="49" fontId="8" fillId="3" borderId="10" xfId="2" applyNumberFormat="1" applyFont="1" applyFill="1" applyBorder="1" applyAlignment="1">
      <alignment horizontal="right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</cellXfs>
  <cellStyles count="5">
    <cellStyle name="Millares [0] 2" xfId="4" xr:uid="{A78FA6BD-9D57-4670-88E4-D4CDA47C7F7E}"/>
    <cellStyle name="Normal" xfId="0" builtinId="0"/>
    <cellStyle name="Normal 2" xfId="1" xr:uid="{C117B75C-7C00-4E00-B356-8563CB490633}"/>
    <cellStyle name="Normal_PROD2005may(sin-can-paipote)06JULIO05 (version 1)" xfId="2" xr:uid="{C082274F-BB53-4F52-8CB7-5E64E28E99C9}"/>
    <cellStyle name="Porcentaje 2" xfId="3" xr:uid="{BA6F74F3-84B9-4830-9FB4-7B299D1186B7}"/>
  </cellStyles>
  <dxfs count="39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3999755851924192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67506-97D6-4A22-9C63-EF34FA6AD67B}" name="ProdCu_por_Empresa" displayName="ProdCu_por_Empresa" ref="A7:AR176" totalsRowShown="0" headerRowDxfId="38" dataDxfId="36" headerRowBorderDxfId="37" headerRowCellStyle="Normal_PROD2005may(sin-can-paipote)06JULIO05 (version 1)">
  <tableColumns count="44">
    <tableColumn id="1" xr3:uid="{F73721A7-9D78-4D21-B487-757BD5C690F8}" name="mes-año " dataDxfId="35"/>
    <tableColumn id="3" xr3:uid="{F61F8B73-66E4-469D-93FA-A60F27E291D5}" name="Chuqui y R.Tomic" dataDxfId="34"/>
    <tableColumn id="2" xr3:uid="{5A0E20B8-17DB-49B1-9148-63EFC0D20C58}" name="Chuquicamata" dataDxfId="33"/>
    <tableColumn id="4" xr3:uid="{FEF3BFF4-DFB6-47F9-89B1-F8E41CA9C0A6}" name="Radomiro Tomic" dataDxfId="32"/>
    <tableColumn id="5" xr3:uid="{C351D92F-FFE0-4299-AB2F-6AD67989339D}" name="Ministro Hales" dataDxfId="31"/>
    <tableColumn id="6" xr3:uid="{1FB78E15-0706-489A-A0CD-83CE100E1310}" name="Salvador" dataDxfId="30"/>
    <tableColumn id="7" xr3:uid="{AE7A6972-5174-447F-923F-571E07B4D8BE}" name="Andina" dataDxfId="29"/>
    <tableColumn id="8" xr3:uid="{66650F2D-549E-47E3-8187-4177F473FB16}" name="El Teniente" dataDxfId="28"/>
    <tableColumn id="9" xr3:uid="{0BA5C4ED-AAE7-4EBB-AA5E-FA283F53E3AC}" name="Gabriela Mistral" dataDxfId="27"/>
    <tableColumn id="10" xr3:uid="{0A86993A-A57D-4518-826A-84F41E612560}" name="Total Codelco" dataDxfId="26"/>
    <tableColumn id="11" xr3:uid="{15C810A8-66D6-48AC-A3EA-094F41C96001}" name="Escondida" dataDxfId="25"/>
    <tableColumn id="28" xr3:uid="{1E8A6177-A00F-4F51-84CD-180817112A7A}" name="Spence" dataDxfId="24" dataCellStyle="Normal_PROD2005may(sin-can-paipote)06JULIO05 (version 1)"/>
    <tableColumn id="23" xr3:uid="{EE384430-5A57-4435-ABF1-A1CD9193AE28}" name="Cerro Colorado" dataDxfId="23" dataCellStyle="Normal_PROD2005may(sin-can-paipote)06JULIO05 (version 1)"/>
    <tableColumn id="26" xr3:uid="{3A790BBD-5563-48F8-BF2F-8BC5EA2571FE}" name="Lomas Bayas" dataDxfId="22" dataCellStyle="Normal_PROD2005may(sin-can-paipote)06JULIO05 (version 1)"/>
    <tableColumn id="12" xr3:uid="{6D04C284-31A6-4191-AC35-0319B68F1DE5}" name="Collahuasi" dataDxfId="21"/>
    <tableColumn id="14" xr3:uid="{6C126AD8-8ECC-4E81-A5DE-376B896BB349}" name="Los Bronces" dataDxfId="20"/>
    <tableColumn id="15" xr3:uid="{ACA02B9D-7D93-4E9F-9AF9-CA833488798E}" name="El Soldado" dataDxfId="19"/>
    <tableColumn id="16" xr3:uid="{6454AAB7-2C34-4676-A671-9ADC1DD372A6}" name="Angloamerican Sur" dataDxfId="18"/>
    <tableColumn id="17" xr3:uid="{CBA33EBF-BF13-408B-9079-14188E286544}" name="El Abra" dataDxfId="17"/>
    <tableColumn id="18" xr3:uid="{778C9A95-FB40-4EFA-9235-94DEB9FD0344}" name="Candelaria" dataDxfId="16"/>
    <tableColumn id="39" xr3:uid="{737F13E2-1DD8-49D4-A0E5-DDC47FD518A1}" name="Caserones" dataDxfId="15" dataCellStyle="Normal_PROD2005may(sin-can-paipote)06JULIO05 (version 1)"/>
    <tableColumn id="36" xr3:uid="{286DF768-524B-4368-9818-EFF0976311B1}" name="Ojos del Salado" dataDxfId="14" dataCellStyle="Normal_PROD2005may(sin-can-paipote)06JULIO05 (version 1)"/>
    <tableColumn id="19" xr3:uid="{CA3C8674-822A-4B5C-80F1-F0875C8028E0}" name="Mantos Blancos" dataDxfId="13"/>
    <tableColumn id="20" xr3:uid="{2C2B4553-0240-48DD-BA58-EB9D021C945F}" name="Mantoverde" dataDxfId="12"/>
    <tableColumn id="21" xr3:uid="{0725B158-DA87-489C-BDEA-F82990CEA4FD}" name="Capstone Copper" dataDxfId="11"/>
    <tableColumn id="13" xr3:uid="{6C8A3145-76C7-4AEF-AB66-2BE3DA85B0C9}" name="Los Pelambres" dataDxfId="10" dataCellStyle="Normal_PROD2005may(sin-can-paipote)06JULIO05 (version 1)"/>
    <tableColumn id="22" xr3:uid="{1D962D77-5D3D-4F19-BB7E-09DE17AEED01}" name="Zaldívar" dataDxfId="9"/>
    <tableColumn id="27" xr3:uid="{DD0D2A10-4C7B-4A7D-9712-B7C1A34C7872}" name="Centinela (súlfuros)" dataDxfId="8" dataCellStyle="Normal_PROD2005may(sin-can-paipote)06JULIO05 (version 1)"/>
    <tableColumn id="24" xr3:uid="{17CC3325-ADAD-4B16-9F11-CC1EC63B8DBC}" name="Centinela (óxidos)" dataDxfId="7"/>
    <tableColumn id="35" xr3:uid="{9DD2CBCD-A799-4D30-A8D3-DEA38CB6A71A}" name="Antucoya" dataDxfId="6" dataCellStyle="Normal_PROD2005may(sin-can-paipote)06JULIO05 (version 1)"/>
    <tableColumn id="25" xr3:uid="{2CEEDF66-AC79-4EB4-AB67-6C612229E5A2}" name="Quebrada Blanca" dataDxfId="5"/>
    <tableColumn id="37" xr3:uid="{A7F8FE2B-1F4C-44C9-902D-874E62AFD639}" name="Andacollo" dataDxfId="4" dataCellStyle="Normal_PROD2005may(sin-can-paipote)06JULIO05 (version 1)"/>
    <tableColumn id="31" xr3:uid="{D81A053A-65EF-45D9-80B3-31B2FA75E6D6}" name="Michilla"/>
    <tableColumn id="43" xr3:uid="{A8833182-1EB7-4468-8BA9-389937E110DE}" name="Haldeman" dataDxfId="3" dataCellStyle="Normal_PROD2005may(sin-can-paipote)06JULIO05 (version 1)"/>
    <tableColumn id="38" xr3:uid="{6F0D1554-1599-46A9-985F-ABEE49371EB7}" name="Sierra Gorda"/>
    <tableColumn id="42" xr3:uid="{28CE3887-40D9-4EF9-8CFB-5B3828A537FD}" name="Atacama Kozan"/>
    <tableColumn id="45" xr3:uid="{8B5E50CC-BA85-4B88-9D08-07F905E5F7F5}" name="Tres Valles"/>
    <tableColumn id="54" xr3:uid="{2E420AB2-CF68-4C60-8B4B-570403781F0A}" name="Franke"/>
    <tableColumn id="50" xr3:uid="{5D8C02E6-9D7E-4202-A284-4CB95BC9CF62}" name="Altos de Punitaqui"/>
    <tableColumn id="52" xr3:uid="{FA5EBABE-D01A-48DF-9BBC-24C9455B86EA}" name="Cerro Negro"/>
    <tableColumn id="53" xr3:uid="{71A6C8E4-EF07-4D92-AE8C-BD16158B11C0}" name="Pampa Camarones"/>
    <tableColumn id="46" xr3:uid="{DA9A9C41-F729-425C-87D2-76840D4D7C22}" name="Enami (Plantas)"/>
    <tableColumn id="29" xr3:uid="{41A1F3E9-E1F6-41DF-A49C-26E15CDFFD35}" name="Otros" dataDxfId="2" dataCellStyle="Normal_PROD2005may(sin-can-paipote)06JULIO05 (version 1)"/>
    <tableColumn id="30" xr3:uid="{0CB04873-D947-4120-BA77-83464D13C02B}" name="TOTAL CHI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5AB9-76C9-47B8-A7E0-73B3E04705DD}">
  <sheetPr>
    <pageSetUpPr fitToPage="1"/>
  </sheetPr>
  <dimension ref="A1:AS2490"/>
  <sheetViews>
    <sheetView showGridLines="0" tabSelected="1" zoomScale="80" zoomScaleNormal="80" workbookViewId="0">
      <pane xSplit="2" ySplit="7" topLeftCell="C20" activePane="bottomRight" state="frozen"/>
      <selection pane="topRight" activeCell="C1" sqref="C1"/>
      <selection pane="bottomLeft" activeCell="A20" sqref="A20"/>
      <selection pane="bottomRight" activeCell="A166" sqref="A166:XFD166"/>
    </sheetView>
  </sheetViews>
  <sheetFormatPr baseColWidth="10" defaultColWidth="13" defaultRowHeight="17.399999999999999" outlineLevelRow="1" x14ac:dyDescent="0.3"/>
  <cols>
    <col min="1" max="1" width="13" style="9" customWidth="1"/>
    <col min="2" max="2" width="15.109375" style="9" hidden="1" customWidth="1"/>
    <col min="3" max="6" width="15.6640625" style="4" customWidth="1"/>
    <col min="7" max="7" width="15.6640625" style="42" customWidth="1"/>
    <col min="8" max="36" width="15.6640625" style="4" customWidth="1"/>
    <col min="37" max="38" width="15.6640625" style="7" customWidth="1"/>
    <col min="39" max="39" width="15.6640625" style="8" customWidth="1"/>
    <col min="40" max="42" width="15.6640625" style="7" customWidth="1"/>
    <col min="43" max="43" width="13.6640625" style="4" customWidth="1"/>
    <col min="44" max="44" width="12.44140625" style="4" customWidth="1"/>
    <col min="45" max="16384" width="13" style="4"/>
  </cols>
  <sheetData>
    <row r="1" spans="1:44" x14ac:dyDescent="0.3">
      <c r="B1" s="1"/>
      <c r="C1" s="35" t="s">
        <v>51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</row>
    <row r="2" spans="1:44" x14ac:dyDescent="0.3">
      <c r="B2" s="1"/>
      <c r="C2" s="35" t="s">
        <v>47</v>
      </c>
      <c r="G2" s="6"/>
    </row>
    <row r="3" spans="1:44" x14ac:dyDescent="0.3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10"/>
      <c r="AN3" s="11"/>
      <c r="AO3" s="11"/>
      <c r="AP3" s="11"/>
    </row>
    <row r="4" spans="1:44" x14ac:dyDescent="0.3">
      <c r="A4" s="64" t="s">
        <v>49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10"/>
      <c r="AN4" s="11"/>
      <c r="AO4" s="11"/>
      <c r="AP4" s="11"/>
    </row>
    <row r="5" spans="1:44" s="14" customFormat="1" x14ac:dyDescent="0.3">
      <c r="A5" s="65" t="s">
        <v>50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12"/>
      <c r="AN5" s="13"/>
      <c r="AO5" s="13"/>
      <c r="AP5" s="13"/>
    </row>
    <row r="6" spans="1:44" s="14" customFormat="1" ht="6.45" customHeight="1" x14ac:dyDescent="0.3">
      <c r="A6" s="15"/>
      <c r="B6" s="15"/>
      <c r="C6" s="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7"/>
      <c r="P6" s="17"/>
      <c r="R6" s="18"/>
      <c r="S6" s="15"/>
      <c r="T6" s="15"/>
      <c r="U6" s="15"/>
      <c r="V6" s="15"/>
      <c r="W6" s="15"/>
      <c r="X6" s="15"/>
      <c r="Y6" s="15"/>
      <c r="Z6" s="15"/>
      <c r="AA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5"/>
      <c r="AO6" s="15"/>
      <c r="AP6" s="15"/>
    </row>
    <row r="7" spans="1:44" s="56" customFormat="1" ht="31.2" x14ac:dyDescent="0.25">
      <c r="A7" s="55" t="s">
        <v>52</v>
      </c>
      <c r="B7" s="19" t="s">
        <v>19</v>
      </c>
      <c r="C7" s="19" t="s">
        <v>20</v>
      </c>
      <c r="D7" s="19" t="s">
        <v>54</v>
      </c>
      <c r="E7" s="19" t="s">
        <v>14</v>
      </c>
      <c r="F7" s="19" t="s">
        <v>0</v>
      </c>
      <c r="G7" s="19" t="s">
        <v>1</v>
      </c>
      <c r="H7" s="19" t="s">
        <v>59</v>
      </c>
      <c r="I7" s="19" t="s">
        <v>56</v>
      </c>
      <c r="J7" s="43" t="s">
        <v>2</v>
      </c>
      <c r="K7" s="19" t="s">
        <v>3</v>
      </c>
      <c r="L7" s="19" t="s">
        <v>13</v>
      </c>
      <c r="M7" s="19" t="s">
        <v>9</v>
      </c>
      <c r="N7" s="19" t="s">
        <v>11</v>
      </c>
      <c r="O7" s="19" t="s">
        <v>4</v>
      </c>
      <c r="P7" s="19" t="s">
        <v>21</v>
      </c>
      <c r="Q7" s="19" t="s">
        <v>22</v>
      </c>
      <c r="R7" s="41" t="s">
        <v>55</v>
      </c>
      <c r="S7" s="19" t="s">
        <v>6</v>
      </c>
      <c r="T7" s="19" t="s">
        <v>7</v>
      </c>
      <c r="U7" s="19" t="s">
        <v>15</v>
      </c>
      <c r="V7" s="19" t="s">
        <v>44</v>
      </c>
      <c r="W7" s="19" t="s">
        <v>23</v>
      </c>
      <c r="X7" s="19" t="s">
        <v>24</v>
      </c>
      <c r="Y7" s="43" t="s">
        <v>57</v>
      </c>
      <c r="Z7" s="19" t="s">
        <v>5</v>
      </c>
      <c r="AA7" s="19" t="s">
        <v>8</v>
      </c>
      <c r="AB7" s="19" t="s">
        <v>46</v>
      </c>
      <c r="AC7" s="19" t="s">
        <v>45</v>
      </c>
      <c r="AD7" s="19" t="s">
        <v>17</v>
      </c>
      <c r="AE7" s="19" t="s">
        <v>10</v>
      </c>
      <c r="AF7" s="19" t="s">
        <v>18</v>
      </c>
      <c r="AG7" s="19" t="s">
        <v>12</v>
      </c>
      <c r="AH7" s="19" t="s">
        <v>26</v>
      </c>
      <c r="AI7" s="19" t="s">
        <v>16</v>
      </c>
      <c r="AJ7" s="19" t="s">
        <v>25</v>
      </c>
      <c r="AK7" s="19" t="s">
        <v>27</v>
      </c>
      <c r="AL7" s="19" t="s">
        <v>28</v>
      </c>
      <c r="AM7" s="19" t="s">
        <v>58</v>
      </c>
      <c r="AN7" s="19" t="s">
        <v>29</v>
      </c>
      <c r="AO7" s="19" t="s">
        <v>30</v>
      </c>
      <c r="AP7" s="19" t="s">
        <v>31</v>
      </c>
      <c r="AQ7" s="19" t="s">
        <v>60</v>
      </c>
      <c r="AR7" s="43" t="s">
        <v>32</v>
      </c>
    </row>
    <row r="8" spans="1:44" s="14" customFormat="1" hidden="1" outlineLevel="1" x14ac:dyDescent="0.3">
      <c r="A8" s="44">
        <v>41640</v>
      </c>
      <c r="B8" s="28">
        <f t="shared" ref="B8:B19" si="0">C8+D8</f>
        <v>54.412999999999997</v>
      </c>
      <c r="C8" s="20">
        <v>21.532</v>
      </c>
      <c r="D8" s="20">
        <v>32.881</v>
      </c>
      <c r="E8" s="20">
        <v>8.5</v>
      </c>
      <c r="F8" s="20">
        <v>5.2</v>
      </c>
      <c r="G8" s="20">
        <v>17.899999999999999</v>
      </c>
      <c r="H8" s="20">
        <v>34.799999999999997</v>
      </c>
      <c r="I8" s="20">
        <v>8.3000000000000007</v>
      </c>
      <c r="J8" s="23">
        <v>129.113</v>
      </c>
      <c r="K8" s="20">
        <v>87.9</v>
      </c>
      <c r="L8" s="20">
        <v>12.2</v>
      </c>
      <c r="M8" s="20">
        <v>7.4</v>
      </c>
      <c r="N8" s="20">
        <v>6.2</v>
      </c>
      <c r="O8" s="20">
        <v>36.9</v>
      </c>
      <c r="P8" s="20">
        <v>40.192</v>
      </c>
      <c r="Q8" s="20">
        <v>3.0019999999999998</v>
      </c>
      <c r="R8" s="21">
        <v>43.194000000000003</v>
      </c>
      <c r="S8" s="20">
        <v>14</v>
      </c>
      <c r="T8" s="20">
        <v>10.8</v>
      </c>
      <c r="U8" s="20">
        <v>2.9</v>
      </c>
      <c r="V8" s="20">
        <v>1.6</v>
      </c>
      <c r="W8" s="20">
        <v>4.6630000000000003</v>
      </c>
      <c r="X8" s="20">
        <v>4.5330000000000004</v>
      </c>
      <c r="Y8" s="21">
        <v>9.1960000000000015</v>
      </c>
      <c r="Z8" s="20">
        <v>33.799999999999997</v>
      </c>
      <c r="AA8" s="20">
        <v>7.3</v>
      </c>
      <c r="AB8" s="20">
        <v>13.4</v>
      </c>
      <c r="AC8" s="20">
        <v>7.6</v>
      </c>
      <c r="AD8" s="20">
        <v>0</v>
      </c>
      <c r="AE8" s="20">
        <v>5</v>
      </c>
      <c r="AF8" s="20">
        <v>5.8</v>
      </c>
      <c r="AG8" s="20">
        <v>3.6</v>
      </c>
      <c r="AH8" s="20">
        <v>1</v>
      </c>
      <c r="AI8" s="20">
        <v>0</v>
      </c>
      <c r="AJ8" s="20">
        <v>1.2</v>
      </c>
      <c r="AK8" s="20">
        <v>0.6</v>
      </c>
      <c r="AL8" s="20">
        <v>1.8</v>
      </c>
      <c r="AM8" s="20">
        <v>1</v>
      </c>
      <c r="AN8" s="20">
        <v>0.84299999999999997</v>
      </c>
      <c r="AO8" s="20">
        <v>0</v>
      </c>
      <c r="AP8" s="20">
        <v>1.8540000000000001</v>
      </c>
      <c r="AQ8" s="20">
        <v>15.402999999999999</v>
      </c>
      <c r="AR8" s="22">
        <f>SUM(E8:I8,B8,K8:Q8,S8:X8,Z8:AQ8)</f>
        <v>461.60300000000012</v>
      </c>
    </row>
    <row r="9" spans="1:44" s="14" customFormat="1" hidden="1" outlineLevel="1" x14ac:dyDescent="0.3">
      <c r="A9" s="44">
        <v>41671</v>
      </c>
      <c r="B9" s="28">
        <f t="shared" si="0"/>
        <v>48.554000000000002</v>
      </c>
      <c r="C9" s="20">
        <v>23.154</v>
      </c>
      <c r="D9" s="20">
        <v>25.4</v>
      </c>
      <c r="E9" s="20">
        <v>7.3</v>
      </c>
      <c r="F9" s="20">
        <v>2.5</v>
      </c>
      <c r="G9" s="20">
        <v>17.100000000000001</v>
      </c>
      <c r="H9" s="20">
        <v>32.9</v>
      </c>
      <c r="I9" s="20">
        <v>7.3</v>
      </c>
      <c r="J9" s="23">
        <v>115.654</v>
      </c>
      <c r="K9" s="20">
        <v>92.5</v>
      </c>
      <c r="L9" s="20">
        <v>14.2</v>
      </c>
      <c r="M9" s="20">
        <v>6.8</v>
      </c>
      <c r="N9" s="20">
        <v>5.6</v>
      </c>
      <c r="O9" s="20">
        <v>42.8</v>
      </c>
      <c r="P9" s="20">
        <v>40.034999999999997</v>
      </c>
      <c r="Q9" s="20">
        <v>3.3050000000000002</v>
      </c>
      <c r="R9" s="21">
        <v>43.339999999999996</v>
      </c>
      <c r="S9" s="20">
        <v>12.8</v>
      </c>
      <c r="T9" s="20">
        <v>12.1</v>
      </c>
      <c r="U9" s="20">
        <v>2.7</v>
      </c>
      <c r="V9" s="20">
        <v>2.2000000000000002</v>
      </c>
      <c r="W9" s="20">
        <v>4.42</v>
      </c>
      <c r="X9" s="20">
        <v>4.202</v>
      </c>
      <c r="Y9" s="21">
        <v>8.6219999999999999</v>
      </c>
      <c r="Z9" s="20">
        <v>27.8</v>
      </c>
      <c r="AA9" s="20">
        <v>7.1</v>
      </c>
      <c r="AB9" s="20">
        <v>13.2</v>
      </c>
      <c r="AC9" s="20">
        <v>7.7</v>
      </c>
      <c r="AD9" s="20">
        <v>0</v>
      </c>
      <c r="AE9" s="20">
        <v>4.4000000000000004</v>
      </c>
      <c r="AF9" s="20">
        <v>5.9</v>
      </c>
      <c r="AG9" s="20">
        <v>3.1</v>
      </c>
      <c r="AH9" s="20">
        <v>0.9</v>
      </c>
      <c r="AI9" s="20">
        <v>0</v>
      </c>
      <c r="AJ9" s="20">
        <v>0.9</v>
      </c>
      <c r="AK9" s="20">
        <v>0.5</v>
      </c>
      <c r="AL9" s="20">
        <v>1.6</v>
      </c>
      <c r="AM9" s="20">
        <v>1.1000000000000001</v>
      </c>
      <c r="AN9" s="20">
        <v>0.64800000000000002</v>
      </c>
      <c r="AO9" s="20">
        <v>0</v>
      </c>
      <c r="AP9" s="20">
        <v>1.569</v>
      </c>
      <c r="AQ9" s="20">
        <v>15.082999999999998</v>
      </c>
      <c r="AR9" s="22">
        <f t="shared" ref="AR9:AR73" si="1">SUM(E9:I9,B9,K9:Q9,S9:X9,Z9:AQ9)</f>
        <v>450.81600000000003</v>
      </c>
    </row>
    <row r="10" spans="1:44" s="14" customFormat="1" hidden="1" outlineLevel="1" x14ac:dyDescent="0.3">
      <c r="A10" s="44">
        <v>41699</v>
      </c>
      <c r="B10" s="28">
        <f t="shared" si="0"/>
        <v>54.001999999999995</v>
      </c>
      <c r="C10" s="20">
        <v>31.141999999999999</v>
      </c>
      <c r="D10" s="20">
        <v>22.86</v>
      </c>
      <c r="E10" s="20">
        <v>13.7</v>
      </c>
      <c r="F10" s="20">
        <v>4.3</v>
      </c>
      <c r="G10" s="20">
        <v>18.3</v>
      </c>
      <c r="H10" s="20">
        <v>38.4</v>
      </c>
      <c r="I10" s="20">
        <v>9.1</v>
      </c>
      <c r="J10" s="23">
        <v>137.80199999999996</v>
      </c>
      <c r="K10" s="20">
        <v>92.4</v>
      </c>
      <c r="L10" s="20">
        <v>15</v>
      </c>
      <c r="M10" s="20">
        <v>7.8</v>
      </c>
      <c r="N10" s="20">
        <v>6.2</v>
      </c>
      <c r="O10" s="20">
        <v>39.200000000000003</v>
      </c>
      <c r="P10" s="20">
        <v>35.332000000000001</v>
      </c>
      <c r="Q10" s="20">
        <v>3.657</v>
      </c>
      <c r="R10" s="21">
        <v>38.989000000000004</v>
      </c>
      <c r="S10" s="20">
        <v>14.9</v>
      </c>
      <c r="T10" s="20">
        <v>11</v>
      </c>
      <c r="U10" s="20">
        <v>2.4</v>
      </c>
      <c r="V10" s="20">
        <v>1.9</v>
      </c>
      <c r="W10" s="20">
        <v>3.8639999999999999</v>
      </c>
      <c r="X10" s="20">
        <v>4.4050000000000002</v>
      </c>
      <c r="Y10" s="21">
        <v>8.2690000000000001</v>
      </c>
      <c r="Z10" s="20">
        <v>37.4</v>
      </c>
      <c r="AA10" s="20">
        <v>9.8000000000000007</v>
      </c>
      <c r="AB10" s="20">
        <v>15</v>
      </c>
      <c r="AC10" s="20">
        <v>8.4</v>
      </c>
      <c r="AD10" s="20">
        <v>0</v>
      </c>
      <c r="AE10" s="20">
        <v>4.5999999999999996</v>
      </c>
      <c r="AF10" s="20">
        <v>7</v>
      </c>
      <c r="AG10" s="20">
        <v>4.0999999999999996</v>
      </c>
      <c r="AH10" s="20">
        <v>0.9</v>
      </c>
      <c r="AI10" s="20">
        <v>0</v>
      </c>
      <c r="AJ10" s="20">
        <v>1.2</v>
      </c>
      <c r="AK10" s="20">
        <v>0.6</v>
      </c>
      <c r="AL10" s="20">
        <v>1.6</v>
      </c>
      <c r="AM10" s="20">
        <v>1.1000000000000001</v>
      </c>
      <c r="AN10" s="20">
        <v>0.74199999999999999</v>
      </c>
      <c r="AO10" s="20">
        <v>0</v>
      </c>
      <c r="AP10" s="20">
        <v>1.61</v>
      </c>
      <c r="AQ10" s="20">
        <v>12.048</v>
      </c>
      <c r="AR10" s="22">
        <f t="shared" si="1"/>
        <v>481.95999999999992</v>
      </c>
    </row>
    <row r="11" spans="1:44" s="14" customFormat="1" hidden="1" outlineLevel="1" x14ac:dyDescent="0.3">
      <c r="A11" s="44">
        <v>41730</v>
      </c>
      <c r="B11" s="28">
        <f t="shared" si="0"/>
        <v>48.457000000000001</v>
      </c>
      <c r="C11" s="20">
        <v>29.571000000000002</v>
      </c>
      <c r="D11" s="20">
        <v>18.885999999999999</v>
      </c>
      <c r="E11" s="20">
        <v>16.2</v>
      </c>
      <c r="F11" s="20">
        <v>3.2</v>
      </c>
      <c r="G11" s="20">
        <v>19.100000000000001</v>
      </c>
      <c r="H11" s="20">
        <v>29.5</v>
      </c>
      <c r="I11" s="20">
        <v>9.4</v>
      </c>
      <c r="J11" s="23">
        <v>125.857</v>
      </c>
      <c r="K11" s="20">
        <v>104.5</v>
      </c>
      <c r="L11" s="20">
        <v>12.9</v>
      </c>
      <c r="M11" s="20">
        <v>6.2</v>
      </c>
      <c r="N11" s="20">
        <v>6.1</v>
      </c>
      <c r="O11" s="20">
        <v>41.6</v>
      </c>
      <c r="P11" s="20">
        <v>32.447000000000003</v>
      </c>
      <c r="Q11" s="20">
        <v>3.222</v>
      </c>
      <c r="R11" s="21">
        <v>35.669000000000004</v>
      </c>
      <c r="S11" s="20">
        <v>14.2</v>
      </c>
      <c r="T11" s="20">
        <v>10</v>
      </c>
      <c r="U11" s="20">
        <v>0</v>
      </c>
      <c r="V11" s="20">
        <v>2</v>
      </c>
      <c r="W11" s="20">
        <v>3.4969999999999999</v>
      </c>
      <c r="X11" s="20">
        <v>4.2510000000000003</v>
      </c>
      <c r="Y11" s="21">
        <v>7.7480000000000002</v>
      </c>
      <c r="Z11" s="20">
        <v>35</v>
      </c>
      <c r="AA11" s="20">
        <v>9.1</v>
      </c>
      <c r="AB11" s="20">
        <v>16</v>
      </c>
      <c r="AC11" s="20">
        <v>8</v>
      </c>
      <c r="AD11" s="20">
        <v>0</v>
      </c>
      <c r="AE11" s="20">
        <v>3.8</v>
      </c>
      <c r="AF11" s="20">
        <v>5.7</v>
      </c>
      <c r="AG11" s="20">
        <v>4.0999999999999996</v>
      </c>
      <c r="AH11" s="20">
        <v>0.6</v>
      </c>
      <c r="AI11" s="20">
        <v>0</v>
      </c>
      <c r="AJ11" s="20">
        <v>0.9</v>
      </c>
      <c r="AK11" s="20">
        <v>0.7</v>
      </c>
      <c r="AL11" s="20">
        <v>1.6</v>
      </c>
      <c r="AM11" s="20">
        <v>0.9</v>
      </c>
      <c r="AN11" s="20">
        <v>0.63300000000000001</v>
      </c>
      <c r="AO11" s="20">
        <v>0</v>
      </c>
      <c r="AP11" s="20">
        <v>1.5980000000000001</v>
      </c>
      <c r="AQ11" s="20">
        <v>15.869</v>
      </c>
      <c r="AR11" s="22">
        <f t="shared" si="1"/>
        <v>471.274</v>
      </c>
    </row>
    <row r="12" spans="1:44" s="14" customFormat="1" hidden="1" outlineLevel="1" x14ac:dyDescent="0.3">
      <c r="A12" s="44">
        <v>41760</v>
      </c>
      <c r="B12" s="28">
        <f t="shared" si="0"/>
        <v>55.451000000000001</v>
      </c>
      <c r="C12" s="20">
        <v>28.295000000000002</v>
      </c>
      <c r="D12" s="20">
        <v>27.155999999999999</v>
      </c>
      <c r="E12" s="20">
        <v>15.6</v>
      </c>
      <c r="F12" s="20">
        <v>2.7</v>
      </c>
      <c r="G12" s="20">
        <v>17.7</v>
      </c>
      <c r="H12" s="20">
        <v>41.2</v>
      </c>
      <c r="I12" s="20">
        <v>10.1</v>
      </c>
      <c r="J12" s="23">
        <v>142.751</v>
      </c>
      <c r="K12" s="20">
        <v>104.9</v>
      </c>
      <c r="L12" s="20">
        <v>16.399999999999999</v>
      </c>
      <c r="M12" s="20">
        <v>7.1</v>
      </c>
      <c r="N12" s="20">
        <v>6.1</v>
      </c>
      <c r="O12" s="20">
        <v>38.1</v>
      </c>
      <c r="P12" s="20">
        <v>36.994999999999997</v>
      </c>
      <c r="Q12" s="20">
        <v>2.8959999999999999</v>
      </c>
      <c r="R12" s="21">
        <v>39.890999999999998</v>
      </c>
      <c r="S12" s="20">
        <v>14.2</v>
      </c>
      <c r="T12" s="20">
        <v>12.4</v>
      </c>
      <c r="U12" s="20">
        <v>0</v>
      </c>
      <c r="V12" s="20">
        <v>1.4</v>
      </c>
      <c r="W12" s="20">
        <v>4.431</v>
      </c>
      <c r="X12" s="20">
        <v>4.1150000000000002</v>
      </c>
      <c r="Y12" s="21">
        <v>8.5459999999999994</v>
      </c>
      <c r="Z12" s="20">
        <v>35.5</v>
      </c>
      <c r="AA12" s="20">
        <v>8.5</v>
      </c>
      <c r="AB12" s="20">
        <v>15</v>
      </c>
      <c r="AC12" s="20">
        <v>6.5</v>
      </c>
      <c r="AD12" s="20">
        <v>0</v>
      </c>
      <c r="AE12" s="20">
        <v>2.7</v>
      </c>
      <c r="AF12" s="20">
        <v>6.9</v>
      </c>
      <c r="AG12" s="20">
        <v>4.0999999999999996</v>
      </c>
      <c r="AH12" s="20">
        <v>0.8</v>
      </c>
      <c r="AI12" s="20">
        <v>0</v>
      </c>
      <c r="AJ12" s="20">
        <v>1.2</v>
      </c>
      <c r="AK12" s="20">
        <v>0.6</v>
      </c>
      <c r="AL12" s="20">
        <v>1.2</v>
      </c>
      <c r="AM12" s="20">
        <v>0.9</v>
      </c>
      <c r="AN12" s="20">
        <v>0.69299999999999995</v>
      </c>
      <c r="AO12" s="20">
        <v>0</v>
      </c>
      <c r="AP12" s="20">
        <v>1.516</v>
      </c>
      <c r="AQ12" s="20">
        <v>15.791</v>
      </c>
      <c r="AR12" s="22">
        <f t="shared" si="1"/>
        <v>493.68799999999999</v>
      </c>
    </row>
    <row r="13" spans="1:44" s="14" customFormat="1" hidden="1" outlineLevel="1" x14ac:dyDescent="0.3">
      <c r="A13" s="44">
        <v>41791</v>
      </c>
      <c r="B13" s="28">
        <f t="shared" si="0"/>
        <v>60.941000000000003</v>
      </c>
      <c r="C13" s="20">
        <v>31.847999999999999</v>
      </c>
      <c r="D13" s="20">
        <v>29.093</v>
      </c>
      <c r="E13" s="20">
        <v>4.5</v>
      </c>
      <c r="F13" s="20">
        <v>4.8</v>
      </c>
      <c r="G13" s="20">
        <v>19.2</v>
      </c>
      <c r="H13" s="20">
        <v>37.4</v>
      </c>
      <c r="I13" s="20">
        <v>9.5</v>
      </c>
      <c r="J13" s="23">
        <v>136.34100000000001</v>
      </c>
      <c r="K13" s="20">
        <v>116.9</v>
      </c>
      <c r="L13" s="20">
        <v>16.3</v>
      </c>
      <c r="M13" s="20">
        <v>8.1</v>
      </c>
      <c r="N13" s="20">
        <v>4.9000000000000004</v>
      </c>
      <c r="O13" s="20">
        <v>42.1</v>
      </c>
      <c r="P13" s="20">
        <v>36.603999999999999</v>
      </c>
      <c r="Q13" s="20">
        <v>2.2210000000000001</v>
      </c>
      <c r="R13" s="21">
        <v>38.825000000000003</v>
      </c>
      <c r="S13" s="20">
        <v>13.9</v>
      </c>
      <c r="T13" s="20">
        <v>8.6999999999999993</v>
      </c>
      <c r="U13" s="20">
        <v>2.2000000000000002</v>
      </c>
      <c r="V13" s="20">
        <v>2.5</v>
      </c>
      <c r="W13" s="20">
        <v>4.3819999999999997</v>
      </c>
      <c r="X13" s="20">
        <v>3.8180000000000001</v>
      </c>
      <c r="Y13" s="21">
        <v>8.1999999999999993</v>
      </c>
      <c r="Z13" s="20">
        <v>33.799999999999997</v>
      </c>
      <c r="AA13" s="20">
        <v>7.2</v>
      </c>
      <c r="AB13" s="20">
        <v>12.8</v>
      </c>
      <c r="AC13" s="20">
        <v>7.8</v>
      </c>
      <c r="AD13" s="20">
        <v>0</v>
      </c>
      <c r="AE13" s="20">
        <v>3.9</v>
      </c>
      <c r="AF13" s="20">
        <v>5.6</v>
      </c>
      <c r="AG13" s="20">
        <v>4.2</v>
      </c>
      <c r="AH13" s="20">
        <v>0.9</v>
      </c>
      <c r="AI13" s="20">
        <v>0</v>
      </c>
      <c r="AJ13" s="20">
        <v>1.1000000000000001</v>
      </c>
      <c r="AK13" s="20">
        <v>0.7</v>
      </c>
      <c r="AL13" s="20">
        <v>1.5</v>
      </c>
      <c r="AM13" s="20">
        <v>0.9</v>
      </c>
      <c r="AN13" s="20">
        <v>0.47499999999999998</v>
      </c>
      <c r="AO13" s="20">
        <v>0</v>
      </c>
      <c r="AP13" s="20">
        <v>1.4810000000000001</v>
      </c>
      <c r="AQ13" s="20">
        <v>11.744</v>
      </c>
      <c r="AR13" s="22">
        <f t="shared" si="1"/>
        <v>493.06599999999992</v>
      </c>
    </row>
    <row r="14" spans="1:44" s="14" customFormat="1" hidden="1" outlineLevel="1" x14ac:dyDescent="0.3">
      <c r="A14" s="44">
        <v>41821</v>
      </c>
      <c r="B14" s="28">
        <f t="shared" si="0"/>
        <v>57.929000000000002</v>
      </c>
      <c r="C14" s="20">
        <v>31.388999999999999</v>
      </c>
      <c r="D14" s="20">
        <v>26.54</v>
      </c>
      <c r="E14" s="20">
        <v>14.2</v>
      </c>
      <c r="F14" s="20">
        <v>4.0999999999999996</v>
      </c>
      <c r="G14" s="20">
        <v>19.3</v>
      </c>
      <c r="H14" s="20">
        <v>40.9</v>
      </c>
      <c r="I14" s="20">
        <v>10.1</v>
      </c>
      <c r="J14" s="23">
        <v>146.529</v>
      </c>
      <c r="K14" s="20">
        <v>83.2</v>
      </c>
      <c r="L14" s="20">
        <v>12.5</v>
      </c>
      <c r="M14" s="20">
        <v>5.0999999999999996</v>
      </c>
      <c r="N14" s="20">
        <v>5.2</v>
      </c>
      <c r="O14" s="20">
        <v>38.4</v>
      </c>
      <c r="P14" s="20">
        <v>37.792000000000002</v>
      </c>
      <c r="Q14" s="20">
        <v>2.1640000000000001</v>
      </c>
      <c r="R14" s="21">
        <v>39.956000000000003</v>
      </c>
      <c r="S14" s="20">
        <v>13.7</v>
      </c>
      <c r="T14" s="20">
        <v>9.1</v>
      </c>
      <c r="U14" s="20">
        <v>4.5999999999999996</v>
      </c>
      <c r="V14" s="20">
        <v>1.7</v>
      </c>
      <c r="W14" s="20">
        <v>4.3029999999999999</v>
      </c>
      <c r="X14" s="20">
        <v>4.6360000000000001</v>
      </c>
      <c r="Y14" s="21">
        <v>8.9390000000000001</v>
      </c>
      <c r="Z14" s="20">
        <v>31.8</v>
      </c>
      <c r="AA14" s="20">
        <v>8</v>
      </c>
      <c r="AB14" s="20">
        <v>16.3</v>
      </c>
      <c r="AC14" s="20">
        <v>5.8</v>
      </c>
      <c r="AD14" s="20">
        <v>0</v>
      </c>
      <c r="AE14" s="20">
        <v>3.5</v>
      </c>
      <c r="AF14" s="20">
        <v>5.8</v>
      </c>
      <c r="AG14" s="20">
        <v>3.4</v>
      </c>
      <c r="AH14" s="20">
        <v>0.8</v>
      </c>
      <c r="AI14" s="20">
        <v>0</v>
      </c>
      <c r="AJ14" s="20">
        <v>1</v>
      </c>
      <c r="AK14" s="20">
        <v>0.7</v>
      </c>
      <c r="AL14" s="20">
        <v>1.9</v>
      </c>
      <c r="AM14" s="20">
        <v>1</v>
      </c>
      <c r="AN14" s="20">
        <v>0.45900000000000002</v>
      </c>
      <c r="AO14" s="20">
        <v>0.01</v>
      </c>
      <c r="AP14" s="20">
        <v>1.5940000000000001</v>
      </c>
      <c r="AQ14" s="20">
        <v>14.436999999999999</v>
      </c>
      <c r="AR14" s="22">
        <f t="shared" si="1"/>
        <v>465.42400000000004</v>
      </c>
    </row>
    <row r="15" spans="1:44" s="14" customFormat="1" hidden="1" outlineLevel="1" x14ac:dyDescent="0.3">
      <c r="A15" s="44">
        <v>41852</v>
      </c>
      <c r="B15" s="28">
        <f t="shared" si="0"/>
        <v>58.602000000000004</v>
      </c>
      <c r="C15" s="20">
        <v>30.425000000000001</v>
      </c>
      <c r="D15" s="20">
        <v>28.177</v>
      </c>
      <c r="E15" s="20">
        <v>19.2</v>
      </c>
      <c r="F15" s="20">
        <v>5.2</v>
      </c>
      <c r="G15" s="20">
        <v>20.8</v>
      </c>
      <c r="H15" s="20">
        <v>42.9</v>
      </c>
      <c r="I15" s="20">
        <v>10</v>
      </c>
      <c r="J15" s="23">
        <v>156.702</v>
      </c>
      <c r="K15" s="20">
        <v>96.2</v>
      </c>
      <c r="L15" s="20">
        <v>11.8</v>
      </c>
      <c r="M15" s="20">
        <v>5.3</v>
      </c>
      <c r="N15" s="20">
        <v>5.4</v>
      </c>
      <c r="O15" s="20">
        <v>36.799999999999997</v>
      </c>
      <c r="P15" s="20">
        <v>28.282</v>
      </c>
      <c r="Q15" s="20">
        <v>2.431</v>
      </c>
      <c r="R15" s="21">
        <v>30.713000000000001</v>
      </c>
      <c r="S15" s="20">
        <v>13.7</v>
      </c>
      <c r="T15" s="20">
        <v>10.199999999999999</v>
      </c>
      <c r="U15" s="20">
        <v>5.4</v>
      </c>
      <c r="V15" s="20">
        <v>1.7</v>
      </c>
      <c r="W15" s="20">
        <v>3.9670000000000001</v>
      </c>
      <c r="X15" s="20">
        <v>4.2009999999999996</v>
      </c>
      <c r="Y15" s="21">
        <v>8.1679999999999993</v>
      </c>
      <c r="Z15" s="20">
        <v>34.4</v>
      </c>
      <c r="AA15" s="20">
        <v>9.1</v>
      </c>
      <c r="AB15" s="20">
        <v>14.1</v>
      </c>
      <c r="AC15" s="20">
        <v>7.6</v>
      </c>
      <c r="AD15" s="20">
        <v>0</v>
      </c>
      <c r="AE15" s="20">
        <v>4</v>
      </c>
      <c r="AF15" s="20">
        <v>6.4</v>
      </c>
      <c r="AG15" s="20">
        <v>3.8</v>
      </c>
      <c r="AH15" s="20">
        <v>0.9</v>
      </c>
      <c r="AI15" s="20">
        <v>0</v>
      </c>
      <c r="AJ15" s="20">
        <v>1.3</v>
      </c>
      <c r="AK15" s="20">
        <v>0.7</v>
      </c>
      <c r="AL15" s="20">
        <v>1.7</v>
      </c>
      <c r="AM15" s="20">
        <v>0.9</v>
      </c>
      <c r="AN15" s="20">
        <v>0.42899999999999999</v>
      </c>
      <c r="AO15" s="20">
        <v>0.41399999999999998</v>
      </c>
      <c r="AP15" s="20">
        <v>1.593</v>
      </c>
      <c r="AQ15" s="20">
        <v>13.564</v>
      </c>
      <c r="AR15" s="22">
        <f t="shared" si="1"/>
        <v>482.98299999999989</v>
      </c>
    </row>
    <row r="16" spans="1:44" s="14" customFormat="1" hidden="1" outlineLevel="1" x14ac:dyDescent="0.3">
      <c r="A16" s="44">
        <v>41883</v>
      </c>
      <c r="B16" s="28">
        <f t="shared" si="0"/>
        <v>51.006</v>
      </c>
      <c r="C16" s="20">
        <v>27.777000000000001</v>
      </c>
      <c r="D16" s="20">
        <v>23.228999999999999</v>
      </c>
      <c r="E16" s="20">
        <v>10.1</v>
      </c>
      <c r="F16" s="20">
        <v>5.6</v>
      </c>
      <c r="G16" s="20">
        <v>20.3</v>
      </c>
      <c r="H16" s="20">
        <v>42</v>
      </c>
      <c r="I16" s="20">
        <v>11.1</v>
      </c>
      <c r="J16" s="23">
        <v>140.10599999999999</v>
      </c>
      <c r="K16" s="20">
        <v>96.1</v>
      </c>
      <c r="L16" s="20">
        <v>15.8</v>
      </c>
      <c r="M16" s="20">
        <v>5.2</v>
      </c>
      <c r="N16" s="20">
        <v>4.7</v>
      </c>
      <c r="O16" s="20">
        <v>35.1</v>
      </c>
      <c r="P16" s="20">
        <v>29.603000000000002</v>
      </c>
      <c r="Q16" s="20">
        <v>2.1150000000000002</v>
      </c>
      <c r="R16" s="21">
        <v>31.718000000000004</v>
      </c>
      <c r="S16" s="20">
        <v>13.3</v>
      </c>
      <c r="T16" s="20">
        <v>10.7</v>
      </c>
      <c r="U16" s="20">
        <v>5.4</v>
      </c>
      <c r="V16" s="20">
        <v>1.8</v>
      </c>
      <c r="W16" s="20">
        <v>4.7300000000000004</v>
      </c>
      <c r="X16" s="20">
        <v>4.2009999999999996</v>
      </c>
      <c r="Y16" s="21">
        <v>8.9310000000000009</v>
      </c>
      <c r="Z16" s="20">
        <v>32</v>
      </c>
      <c r="AA16" s="20">
        <v>8.1</v>
      </c>
      <c r="AB16" s="20">
        <v>14.1</v>
      </c>
      <c r="AC16" s="20">
        <v>8.6</v>
      </c>
      <c r="AD16" s="20">
        <v>0</v>
      </c>
      <c r="AE16" s="20">
        <v>3.8</v>
      </c>
      <c r="AF16" s="20">
        <v>3.8</v>
      </c>
      <c r="AG16" s="20">
        <v>3.7</v>
      </c>
      <c r="AH16" s="20">
        <v>0.8</v>
      </c>
      <c r="AI16" s="20">
        <v>0</v>
      </c>
      <c r="AJ16" s="20">
        <v>1.3</v>
      </c>
      <c r="AK16" s="20">
        <v>0.7</v>
      </c>
      <c r="AL16" s="20">
        <v>1.6</v>
      </c>
      <c r="AM16" s="20">
        <v>0.7</v>
      </c>
      <c r="AN16" s="20">
        <v>0.14599999999999999</v>
      </c>
      <c r="AO16" s="20">
        <v>0.42</v>
      </c>
      <c r="AP16" s="20">
        <v>1.6679999999999999</v>
      </c>
      <c r="AQ16" s="20">
        <v>14.466000000000001</v>
      </c>
      <c r="AR16" s="22">
        <f t="shared" si="1"/>
        <v>464.75500000000022</v>
      </c>
    </row>
    <row r="17" spans="1:44" s="14" customFormat="1" hidden="1" outlineLevel="1" x14ac:dyDescent="0.3">
      <c r="A17" s="44">
        <v>41913</v>
      </c>
      <c r="B17" s="28">
        <f t="shared" si="0"/>
        <v>56.991999999999997</v>
      </c>
      <c r="C17" s="20">
        <v>27.088999999999999</v>
      </c>
      <c r="D17" s="20">
        <v>29.902999999999999</v>
      </c>
      <c r="E17" s="20">
        <v>16.5</v>
      </c>
      <c r="F17" s="20">
        <v>6.4</v>
      </c>
      <c r="G17" s="20">
        <v>21.2</v>
      </c>
      <c r="H17" s="20">
        <v>43.6</v>
      </c>
      <c r="I17" s="20">
        <v>12.5</v>
      </c>
      <c r="J17" s="23">
        <v>157.19199999999998</v>
      </c>
      <c r="K17" s="20">
        <v>84.9</v>
      </c>
      <c r="L17" s="20">
        <v>16.600000000000001</v>
      </c>
      <c r="M17" s="20">
        <v>6.6</v>
      </c>
      <c r="N17" s="20">
        <v>5.2</v>
      </c>
      <c r="O17" s="20">
        <v>40</v>
      </c>
      <c r="P17" s="20">
        <v>33.482999999999997</v>
      </c>
      <c r="Q17" s="20">
        <v>2.2599999999999998</v>
      </c>
      <c r="R17" s="21">
        <v>35.742999999999995</v>
      </c>
      <c r="S17" s="20">
        <v>13.6</v>
      </c>
      <c r="T17" s="20">
        <v>15.7</v>
      </c>
      <c r="U17" s="20">
        <v>6</v>
      </c>
      <c r="V17" s="20">
        <v>1.5</v>
      </c>
      <c r="W17" s="20">
        <v>4.45</v>
      </c>
      <c r="X17" s="20">
        <v>4.6550000000000002</v>
      </c>
      <c r="Y17" s="21">
        <v>9.1050000000000004</v>
      </c>
      <c r="Z17" s="20">
        <v>33.1</v>
      </c>
      <c r="AA17" s="20">
        <v>7.6</v>
      </c>
      <c r="AB17" s="20">
        <v>14.2</v>
      </c>
      <c r="AC17" s="20">
        <v>7.6</v>
      </c>
      <c r="AD17" s="20">
        <v>0</v>
      </c>
      <c r="AE17" s="20">
        <v>3.9</v>
      </c>
      <c r="AF17" s="20">
        <v>6</v>
      </c>
      <c r="AG17" s="20">
        <v>4</v>
      </c>
      <c r="AH17" s="20">
        <v>0.8</v>
      </c>
      <c r="AI17" s="20">
        <v>3.8</v>
      </c>
      <c r="AJ17" s="20">
        <v>1.2</v>
      </c>
      <c r="AK17" s="20">
        <v>0.8</v>
      </c>
      <c r="AL17" s="20">
        <v>1.6</v>
      </c>
      <c r="AM17" s="20">
        <v>0.9</v>
      </c>
      <c r="AN17" s="20">
        <v>0.26400000000000001</v>
      </c>
      <c r="AO17" s="20">
        <v>0.501</v>
      </c>
      <c r="AP17" s="20">
        <v>1.62</v>
      </c>
      <c r="AQ17" s="20">
        <v>13.614999999999998</v>
      </c>
      <c r="AR17" s="22">
        <f t="shared" si="1"/>
        <v>493.64000000000004</v>
      </c>
    </row>
    <row r="18" spans="1:44" s="14" customFormat="1" hidden="1" outlineLevel="1" x14ac:dyDescent="0.3">
      <c r="A18" s="44">
        <v>41944</v>
      </c>
      <c r="B18" s="28">
        <f t="shared" si="0"/>
        <v>57.370999999999995</v>
      </c>
      <c r="C18" s="20">
        <v>27.146999999999998</v>
      </c>
      <c r="D18" s="20">
        <v>30.224</v>
      </c>
      <c r="E18" s="20">
        <v>1.5</v>
      </c>
      <c r="F18" s="20">
        <v>3.9</v>
      </c>
      <c r="G18" s="20">
        <v>21</v>
      </c>
      <c r="H18" s="20">
        <v>39.5</v>
      </c>
      <c r="I18" s="20">
        <v>11.3</v>
      </c>
      <c r="J18" s="23">
        <v>134.571</v>
      </c>
      <c r="K18" s="20">
        <v>93.8</v>
      </c>
      <c r="L18" s="20">
        <v>15.5</v>
      </c>
      <c r="M18" s="20">
        <v>6.7</v>
      </c>
      <c r="N18" s="20">
        <v>5.3</v>
      </c>
      <c r="O18" s="20">
        <v>37.1</v>
      </c>
      <c r="P18" s="20">
        <v>28.579000000000001</v>
      </c>
      <c r="Q18" s="20">
        <v>2.1080000000000001</v>
      </c>
      <c r="R18" s="21">
        <v>30.687000000000001</v>
      </c>
      <c r="S18" s="20">
        <v>13.8</v>
      </c>
      <c r="T18" s="20">
        <v>10.9</v>
      </c>
      <c r="U18" s="20">
        <v>7.6</v>
      </c>
      <c r="V18" s="20">
        <v>1.9</v>
      </c>
      <c r="W18" s="20">
        <v>4.71</v>
      </c>
      <c r="X18" s="20">
        <v>4.3879999999999999</v>
      </c>
      <c r="Y18" s="21">
        <v>9.097999999999999</v>
      </c>
      <c r="Z18" s="20">
        <v>34.5</v>
      </c>
      <c r="AA18" s="20">
        <v>8.6999999999999993</v>
      </c>
      <c r="AB18" s="20">
        <v>18.399999999999999</v>
      </c>
      <c r="AC18" s="20">
        <v>8.5</v>
      </c>
      <c r="AD18" s="20">
        <v>0</v>
      </c>
      <c r="AE18" s="20">
        <v>3.9</v>
      </c>
      <c r="AF18" s="20">
        <v>6.5</v>
      </c>
      <c r="AG18" s="20">
        <v>4.2</v>
      </c>
      <c r="AH18" s="20">
        <v>0.8</v>
      </c>
      <c r="AI18" s="20">
        <v>4</v>
      </c>
      <c r="AJ18" s="20">
        <v>1.2</v>
      </c>
      <c r="AK18" s="20">
        <v>0.8</v>
      </c>
      <c r="AL18" s="20">
        <v>1.3</v>
      </c>
      <c r="AM18" s="20">
        <v>1</v>
      </c>
      <c r="AN18" s="20">
        <v>0.13400000000000001</v>
      </c>
      <c r="AO18" s="20">
        <v>0.38500000000000001</v>
      </c>
      <c r="AP18" s="20">
        <v>1.5429999999999999</v>
      </c>
      <c r="AQ18" s="20">
        <v>14.438000000000001</v>
      </c>
      <c r="AR18" s="22">
        <f t="shared" si="1"/>
        <v>477.25599999999991</v>
      </c>
    </row>
    <row r="19" spans="1:44" s="14" customFormat="1" hidden="1" outlineLevel="1" x14ac:dyDescent="0.3">
      <c r="A19" s="44">
        <v>41974</v>
      </c>
      <c r="B19" s="28">
        <f t="shared" si="0"/>
        <v>63.923000000000002</v>
      </c>
      <c r="C19" s="20">
        <v>30.994</v>
      </c>
      <c r="D19" s="20">
        <v>32.929000000000002</v>
      </c>
      <c r="E19" s="20">
        <v>13.9</v>
      </c>
      <c r="F19" s="20">
        <v>6.1</v>
      </c>
      <c r="G19" s="20">
        <v>20.5</v>
      </c>
      <c r="H19" s="20">
        <v>32.4</v>
      </c>
      <c r="I19" s="20">
        <v>12.3</v>
      </c>
      <c r="J19" s="23">
        <v>149.12299999999999</v>
      </c>
      <c r="K19" s="20">
        <v>112.1</v>
      </c>
      <c r="L19" s="20">
        <v>16.899999999999999</v>
      </c>
      <c r="M19" s="20">
        <v>7.3</v>
      </c>
      <c r="N19" s="20">
        <v>5.5</v>
      </c>
      <c r="O19" s="20">
        <v>42.3</v>
      </c>
      <c r="P19" s="20">
        <v>25.167000000000002</v>
      </c>
      <c r="Q19" s="20">
        <v>3.032</v>
      </c>
      <c r="R19" s="21">
        <v>28.199000000000002</v>
      </c>
      <c r="S19" s="20">
        <v>14.3</v>
      </c>
      <c r="T19" s="20">
        <v>13.1</v>
      </c>
      <c r="U19" s="20">
        <v>5.4</v>
      </c>
      <c r="V19" s="20">
        <v>1.8</v>
      </c>
      <c r="W19" s="20">
        <v>5.0010000000000003</v>
      </c>
      <c r="X19" s="20">
        <v>4.3920000000000003</v>
      </c>
      <c r="Y19" s="21">
        <v>9.3930000000000007</v>
      </c>
      <c r="Z19" s="20">
        <v>35.5</v>
      </c>
      <c r="AA19" s="20">
        <v>10.1</v>
      </c>
      <c r="AB19" s="20">
        <v>18.2</v>
      </c>
      <c r="AC19" s="20">
        <v>9.6999999999999993</v>
      </c>
      <c r="AD19" s="20">
        <v>0</v>
      </c>
      <c r="AE19" s="20">
        <v>4.5999999999999996</v>
      </c>
      <c r="AF19" s="20">
        <v>6.4</v>
      </c>
      <c r="AG19" s="20">
        <v>4.7</v>
      </c>
      <c r="AH19" s="20">
        <v>0.8</v>
      </c>
      <c r="AI19" s="20">
        <v>4.9000000000000004</v>
      </c>
      <c r="AJ19" s="20">
        <v>1.2</v>
      </c>
      <c r="AK19" s="20">
        <v>0.8</v>
      </c>
      <c r="AL19" s="20">
        <v>1.8</v>
      </c>
      <c r="AM19" s="20">
        <v>1.1000000000000001</v>
      </c>
      <c r="AN19" s="20">
        <v>0.51300000000000001</v>
      </c>
      <c r="AO19" s="20">
        <v>0.308</v>
      </c>
      <c r="AP19" s="20">
        <v>1.6919999999999999</v>
      </c>
      <c r="AQ19" s="20">
        <v>16.887</v>
      </c>
      <c r="AR19" s="22">
        <f t="shared" si="1"/>
        <v>524.61500000000001</v>
      </c>
    </row>
    <row r="20" spans="1:44" s="14" customFormat="1" collapsed="1" x14ac:dyDescent="0.3">
      <c r="A20" s="45" t="s">
        <v>33</v>
      </c>
      <c r="B20" s="24">
        <f>SUM(B8:B19)</f>
        <v>667.64099999999985</v>
      </c>
      <c r="C20" s="24">
        <f>SUM(C8:C19)</f>
        <v>340.36300000000006</v>
      </c>
      <c r="D20" s="24">
        <f t="shared" ref="D20:AR20" si="2">SUM(D8:D19)</f>
        <v>327.27800000000002</v>
      </c>
      <c r="E20" s="24">
        <f t="shared" si="2"/>
        <v>141.20000000000002</v>
      </c>
      <c r="F20" s="24">
        <f t="shared" si="2"/>
        <v>53.999999999999993</v>
      </c>
      <c r="G20" s="24">
        <f t="shared" si="2"/>
        <v>232.40000000000003</v>
      </c>
      <c r="H20" s="24">
        <f t="shared" si="2"/>
        <v>455.5</v>
      </c>
      <c r="I20" s="24">
        <f t="shared" si="2"/>
        <v>121</v>
      </c>
      <c r="J20" s="25">
        <f t="shared" si="2"/>
        <v>1671.7409999999998</v>
      </c>
      <c r="K20" s="24">
        <f t="shared" si="2"/>
        <v>1165.4000000000001</v>
      </c>
      <c r="L20" s="24">
        <f>SUM(L8:L19)</f>
        <v>176.1</v>
      </c>
      <c r="M20" s="24">
        <f>SUM(M8:M19)</f>
        <v>79.599999999999994</v>
      </c>
      <c r="N20" s="24">
        <f>SUM(N8:N19)</f>
        <v>66.400000000000006</v>
      </c>
      <c r="O20" s="24">
        <f t="shared" si="2"/>
        <v>470.40000000000003</v>
      </c>
      <c r="P20" s="24">
        <f t="shared" si="2"/>
        <v>404.51100000000008</v>
      </c>
      <c r="Q20" s="24">
        <f t="shared" si="2"/>
        <v>32.413000000000004</v>
      </c>
      <c r="R20" s="26">
        <f t="shared" si="2"/>
        <v>436.92400000000009</v>
      </c>
      <c r="S20" s="24">
        <f t="shared" si="2"/>
        <v>166.40000000000003</v>
      </c>
      <c r="T20" s="24">
        <f t="shared" si="2"/>
        <v>134.70000000000002</v>
      </c>
      <c r="U20" s="24">
        <f>SUM(U8:U19)</f>
        <v>44.6</v>
      </c>
      <c r="V20" s="24">
        <f>SUM(V8:V19)</f>
        <v>21.999999999999996</v>
      </c>
      <c r="W20" s="24">
        <f t="shared" si="2"/>
        <v>52.418000000000006</v>
      </c>
      <c r="X20" s="24">
        <f t="shared" si="2"/>
        <v>51.797000000000004</v>
      </c>
      <c r="Y20" s="26">
        <f t="shared" si="2"/>
        <v>104.215</v>
      </c>
      <c r="Z20" s="24">
        <f>SUM(Z8:Z19)</f>
        <v>404.6</v>
      </c>
      <c r="AA20" s="24">
        <f t="shared" si="2"/>
        <v>100.59999999999998</v>
      </c>
      <c r="AB20" s="24">
        <f>SUM(AB8:AB19)</f>
        <v>180.69999999999996</v>
      </c>
      <c r="AC20" s="24">
        <f t="shared" si="2"/>
        <v>93.8</v>
      </c>
      <c r="AD20" s="24">
        <f>SUM(AD8:AD19)</f>
        <v>0</v>
      </c>
      <c r="AE20" s="24">
        <f t="shared" si="2"/>
        <v>48.099999999999994</v>
      </c>
      <c r="AF20" s="24">
        <f>SUM(AF8:AF19)</f>
        <v>71.8</v>
      </c>
      <c r="AG20" s="24">
        <f t="shared" si="2"/>
        <v>47.000000000000007</v>
      </c>
      <c r="AH20" s="24">
        <f>SUM(AH8:AH19)</f>
        <v>10.000000000000002</v>
      </c>
      <c r="AI20" s="24">
        <f t="shared" si="2"/>
        <v>12.7</v>
      </c>
      <c r="AJ20" s="24">
        <f t="shared" si="2"/>
        <v>13.7</v>
      </c>
      <c r="AK20" s="24">
        <f t="shared" si="2"/>
        <v>8.2000000000000011</v>
      </c>
      <c r="AL20" s="24">
        <f t="shared" si="2"/>
        <v>19.200000000000003</v>
      </c>
      <c r="AM20" s="24">
        <f t="shared" si="2"/>
        <v>11.500000000000002</v>
      </c>
      <c r="AN20" s="24">
        <f t="shared" si="2"/>
        <v>5.9790000000000001</v>
      </c>
      <c r="AO20" s="24">
        <f t="shared" si="2"/>
        <v>2.0379999999999998</v>
      </c>
      <c r="AP20" s="24">
        <f t="shared" si="2"/>
        <v>19.337999999999997</v>
      </c>
      <c r="AQ20" s="24">
        <v>173.34499999999997</v>
      </c>
      <c r="AR20" s="27">
        <f t="shared" si="2"/>
        <v>5761.08</v>
      </c>
    </row>
    <row r="21" spans="1:44" s="14" customFormat="1" hidden="1" outlineLevel="1" x14ac:dyDescent="0.3">
      <c r="A21" s="44">
        <v>42005</v>
      </c>
      <c r="B21" s="28">
        <f t="shared" ref="B21:B32" si="3">C21+D21</f>
        <v>43.305999999999997</v>
      </c>
      <c r="C21" s="20">
        <v>17.808</v>
      </c>
      <c r="D21" s="20">
        <v>25.498000000000001</v>
      </c>
      <c r="E21" s="20">
        <v>21.3</v>
      </c>
      <c r="F21" s="20">
        <v>3.3</v>
      </c>
      <c r="G21" s="20">
        <v>17.899999999999999</v>
      </c>
      <c r="H21" s="20">
        <v>42.3</v>
      </c>
      <c r="I21" s="20">
        <v>11.2</v>
      </c>
      <c r="J21" s="23">
        <v>139.30599999999998</v>
      </c>
      <c r="K21" s="20">
        <v>126.6</v>
      </c>
      <c r="L21" s="20">
        <v>16.600000000000001</v>
      </c>
      <c r="M21" s="20">
        <v>7.5</v>
      </c>
      <c r="N21" s="20">
        <v>5.6</v>
      </c>
      <c r="O21" s="20">
        <v>39</v>
      </c>
      <c r="P21" s="20">
        <v>34.298999999999999</v>
      </c>
      <c r="Q21" s="20">
        <v>1.7130000000000001</v>
      </c>
      <c r="R21" s="21">
        <v>36.012</v>
      </c>
      <c r="S21" s="20">
        <v>14</v>
      </c>
      <c r="T21" s="20">
        <v>12.8</v>
      </c>
      <c r="U21" s="20">
        <v>5.3</v>
      </c>
      <c r="V21" s="20">
        <v>2.1</v>
      </c>
      <c r="W21" s="20">
        <v>4.742</v>
      </c>
      <c r="X21" s="20">
        <v>4.3230000000000004</v>
      </c>
      <c r="Y21" s="21">
        <v>9.0650000000000013</v>
      </c>
      <c r="Z21" s="20">
        <v>31.1</v>
      </c>
      <c r="AA21" s="20">
        <v>9.1999999999999993</v>
      </c>
      <c r="AB21" s="20">
        <v>14.3</v>
      </c>
      <c r="AC21" s="20">
        <v>8</v>
      </c>
      <c r="AD21" s="20">
        <v>0</v>
      </c>
      <c r="AE21" s="20">
        <v>4</v>
      </c>
      <c r="AF21" s="20">
        <v>6.2</v>
      </c>
      <c r="AG21" s="20">
        <v>2.4</v>
      </c>
      <c r="AH21" s="20">
        <v>0.9</v>
      </c>
      <c r="AI21" s="20">
        <v>8</v>
      </c>
      <c r="AJ21" s="20">
        <v>0.9</v>
      </c>
      <c r="AK21" s="20">
        <v>0.7</v>
      </c>
      <c r="AL21" s="20">
        <v>1.4</v>
      </c>
      <c r="AM21" s="20">
        <v>0.9</v>
      </c>
      <c r="AN21" s="20">
        <v>0.47899999999999998</v>
      </c>
      <c r="AO21" s="20">
        <v>0.31</v>
      </c>
      <c r="AP21" s="20">
        <v>1.6120000000000001</v>
      </c>
      <c r="AQ21" s="20">
        <v>14.798999999999999</v>
      </c>
      <c r="AR21" s="22">
        <f t="shared" si="1"/>
        <v>519.08299999999997</v>
      </c>
    </row>
    <row r="22" spans="1:44" s="14" customFormat="1" hidden="1" outlineLevel="1" x14ac:dyDescent="0.3">
      <c r="A22" s="44">
        <v>42036</v>
      </c>
      <c r="B22" s="28">
        <f t="shared" si="3"/>
        <v>37.710999999999999</v>
      </c>
      <c r="C22" s="20">
        <v>11.359</v>
      </c>
      <c r="D22" s="20">
        <v>26.352</v>
      </c>
      <c r="E22" s="20">
        <v>13.2</v>
      </c>
      <c r="F22" s="20">
        <v>2.4</v>
      </c>
      <c r="G22" s="20">
        <v>18.600000000000001</v>
      </c>
      <c r="H22" s="20">
        <v>32.1</v>
      </c>
      <c r="I22" s="20">
        <v>10.3</v>
      </c>
      <c r="J22" s="23">
        <v>114.31100000000001</v>
      </c>
      <c r="K22" s="20">
        <v>104.8</v>
      </c>
      <c r="L22" s="20">
        <v>14.7</v>
      </c>
      <c r="M22" s="20">
        <v>6.7</v>
      </c>
      <c r="N22" s="20">
        <v>5.7</v>
      </c>
      <c r="O22" s="20">
        <v>30.3</v>
      </c>
      <c r="P22" s="20">
        <v>31.154</v>
      </c>
      <c r="Q22" s="20">
        <v>2.1960000000000002</v>
      </c>
      <c r="R22" s="21">
        <v>33.35</v>
      </c>
      <c r="S22" s="20">
        <v>12.2</v>
      </c>
      <c r="T22" s="20">
        <v>15.2</v>
      </c>
      <c r="U22" s="20">
        <v>6.9</v>
      </c>
      <c r="V22" s="20">
        <v>2.1</v>
      </c>
      <c r="W22" s="20">
        <v>4.4180000000000001</v>
      </c>
      <c r="X22" s="20">
        <v>3.7490000000000001</v>
      </c>
      <c r="Y22" s="21">
        <v>8.1669999999999998</v>
      </c>
      <c r="Z22" s="20">
        <v>23.9</v>
      </c>
      <c r="AA22" s="20">
        <v>8</v>
      </c>
      <c r="AB22" s="20">
        <v>14.8</v>
      </c>
      <c r="AC22" s="20">
        <v>6.8</v>
      </c>
      <c r="AD22" s="20">
        <v>0</v>
      </c>
      <c r="AE22" s="20">
        <v>4</v>
      </c>
      <c r="AF22" s="20">
        <v>6.2</v>
      </c>
      <c r="AG22" s="20">
        <v>2.4</v>
      </c>
      <c r="AH22" s="20">
        <v>0.7</v>
      </c>
      <c r="AI22" s="20">
        <v>4.9000000000000004</v>
      </c>
      <c r="AJ22" s="20">
        <v>1.2</v>
      </c>
      <c r="AK22" s="20">
        <v>0.7</v>
      </c>
      <c r="AL22" s="20">
        <v>1.3</v>
      </c>
      <c r="AM22" s="20">
        <v>0.8</v>
      </c>
      <c r="AN22" s="20">
        <v>0.51900000000000002</v>
      </c>
      <c r="AO22" s="20">
        <v>0.33300000000000002</v>
      </c>
      <c r="AP22" s="20">
        <v>1.4079999999999999</v>
      </c>
      <c r="AQ22" s="20">
        <v>13.34</v>
      </c>
      <c r="AR22" s="22">
        <f t="shared" si="1"/>
        <v>445.72799999999995</v>
      </c>
    </row>
    <row r="23" spans="1:44" s="14" customFormat="1" hidden="1" outlineLevel="1" x14ac:dyDescent="0.3">
      <c r="A23" s="44">
        <v>42064</v>
      </c>
      <c r="B23" s="28">
        <f t="shared" si="3"/>
        <v>46.484999999999999</v>
      </c>
      <c r="C23" s="20">
        <v>19.611000000000001</v>
      </c>
      <c r="D23" s="20">
        <v>26.873999999999999</v>
      </c>
      <c r="E23" s="20">
        <v>16.7</v>
      </c>
      <c r="F23" s="20">
        <v>4.4000000000000004</v>
      </c>
      <c r="G23" s="20">
        <v>19.2</v>
      </c>
      <c r="H23" s="20">
        <v>43.1</v>
      </c>
      <c r="I23" s="20">
        <v>10.7</v>
      </c>
      <c r="J23" s="23">
        <v>140.58500000000001</v>
      </c>
      <c r="K23" s="20">
        <v>115.7</v>
      </c>
      <c r="L23" s="20">
        <v>13.7</v>
      </c>
      <c r="M23" s="20">
        <v>7.3</v>
      </c>
      <c r="N23" s="20">
        <v>5.9</v>
      </c>
      <c r="O23" s="20">
        <v>35.200000000000003</v>
      </c>
      <c r="P23" s="20">
        <v>29.207000000000001</v>
      </c>
      <c r="Q23" s="20">
        <v>2.2669999999999999</v>
      </c>
      <c r="R23" s="21">
        <v>31.474</v>
      </c>
      <c r="S23" s="20">
        <v>12.7</v>
      </c>
      <c r="T23" s="20">
        <v>13.8</v>
      </c>
      <c r="U23" s="20">
        <v>5.3</v>
      </c>
      <c r="V23" s="20">
        <v>1.5</v>
      </c>
      <c r="W23" s="20">
        <v>4.4690000000000003</v>
      </c>
      <c r="X23" s="20">
        <v>3.246</v>
      </c>
      <c r="Y23" s="21">
        <v>7.7149999999999999</v>
      </c>
      <c r="Z23" s="20">
        <v>26.5</v>
      </c>
      <c r="AA23" s="20">
        <v>6.1</v>
      </c>
      <c r="AB23" s="20">
        <v>9.4</v>
      </c>
      <c r="AC23" s="20">
        <v>7.1</v>
      </c>
      <c r="AD23" s="20">
        <v>0</v>
      </c>
      <c r="AE23" s="20">
        <v>4.2</v>
      </c>
      <c r="AF23" s="20">
        <v>4.7</v>
      </c>
      <c r="AG23" s="20">
        <v>2.5</v>
      </c>
      <c r="AH23" s="20">
        <v>0.8</v>
      </c>
      <c r="AI23" s="20">
        <v>4.5</v>
      </c>
      <c r="AJ23" s="20">
        <v>0.9</v>
      </c>
      <c r="AK23" s="20">
        <v>0.7</v>
      </c>
      <c r="AL23" s="20">
        <v>1.5</v>
      </c>
      <c r="AM23" s="20">
        <v>1</v>
      </c>
      <c r="AN23" s="20">
        <v>0.5</v>
      </c>
      <c r="AO23" s="20">
        <v>0.41199999999999998</v>
      </c>
      <c r="AP23" s="20">
        <v>1.0660000000000001</v>
      </c>
      <c r="AQ23" s="20">
        <v>10.622</v>
      </c>
      <c r="AR23" s="22">
        <f t="shared" si="1"/>
        <v>473.37399999999991</v>
      </c>
    </row>
    <row r="24" spans="1:44" s="14" customFormat="1" hidden="1" outlineLevel="1" x14ac:dyDescent="0.3">
      <c r="A24" s="44">
        <v>42095</v>
      </c>
      <c r="B24" s="28">
        <f t="shared" si="3"/>
        <v>54.960999999999999</v>
      </c>
      <c r="C24" s="20">
        <v>29.960999999999999</v>
      </c>
      <c r="D24" s="20">
        <v>25</v>
      </c>
      <c r="E24" s="20">
        <v>19</v>
      </c>
      <c r="F24" s="20">
        <v>2.2000000000000002</v>
      </c>
      <c r="G24" s="20">
        <v>16.5</v>
      </c>
      <c r="H24" s="20">
        <v>34</v>
      </c>
      <c r="I24" s="20">
        <v>10.5</v>
      </c>
      <c r="J24" s="23">
        <v>137.161</v>
      </c>
      <c r="K24" s="20">
        <v>94.9</v>
      </c>
      <c r="L24" s="20">
        <v>14.4</v>
      </c>
      <c r="M24" s="20">
        <v>7.3</v>
      </c>
      <c r="N24" s="20">
        <v>5.8</v>
      </c>
      <c r="O24" s="20">
        <v>37.200000000000003</v>
      </c>
      <c r="P24" s="20">
        <v>34.110999999999997</v>
      </c>
      <c r="Q24" s="20">
        <v>2.6059999999999999</v>
      </c>
      <c r="R24" s="21">
        <v>36.716999999999999</v>
      </c>
      <c r="S24" s="20">
        <v>13.2</v>
      </c>
      <c r="T24" s="20">
        <v>13.6</v>
      </c>
      <c r="U24" s="20">
        <v>3.1</v>
      </c>
      <c r="V24" s="20">
        <v>1.6</v>
      </c>
      <c r="W24" s="20">
        <v>4.9059999999999997</v>
      </c>
      <c r="X24" s="20">
        <v>3.6150000000000002</v>
      </c>
      <c r="Y24" s="21">
        <v>8.5210000000000008</v>
      </c>
      <c r="Z24" s="20">
        <v>33.799999999999997</v>
      </c>
      <c r="AA24" s="20">
        <v>6.1</v>
      </c>
      <c r="AB24" s="20">
        <v>16.5</v>
      </c>
      <c r="AC24" s="20">
        <v>6.5</v>
      </c>
      <c r="AD24" s="20">
        <v>0</v>
      </c>
      <c r="AE24" s="20">
        <v>4.3</v>
      </c>
      <c r="AF24" s="20">
        <v>6</v>
      </c>
      <c r="AG24" s="20">
        <v>2.8</v>
      </c>
      <c r="AH24" s="20">
        <v>0.8</v>
      </c>
      <c r="AI24" s="20">
        <v>5.8</v>
      </c>
      <c r="AJ24" s="20">
        <v>1.2</v>
      </c>
      <c r="AK24" s="20">
        <v>0.5</v>
      </c>
      <c r="AL24" s="20">
        <v>1.3</v>
      </c>
      <c r="AM24" s="20">
        <v>1</v>
      </c>
      <c r="AN24" s="20">
        <v>0.436</v>
      </c>
      <c r="AO24" s="20">
        <v>0.42</v>
      </c>
      <c r="AP24" s="20">
        <v>0.80700000000000005</v>
      </c>
      <c r="AQ24" s="20">
        <v>8.536999999999999</v>
      </c>
      <c r="AR24" s="22">
        <f t="shared" si="1"/>
        <v>470.29900000000015</v>
      </c>
    </row>
    <row r="25" spans="1:44" s="14" customFormat="1" hidden="1" outlineLevel="1" x14ac:dyDescent="0.3">
      <c r="A25" s="44">
        <v>42125</v>
      </c>
      <c r="B25" s="28">
        <f t="shared" si="3"/>
        <v>42.122</v>
      </c>
      <c r="C25" s="20">
        <v>17.349</v>
      </c>
      <c r="D25" s="20">
        <v>24.773</v>
      </c>
      <c r="E25" s="20">
        <v>19.600000000000001</v>
      </c>
      <c r="F25" s="20">
        <v>4.9000000000000004</v>
      </c>
      <c r="G25" s="20">
        <v>19.8</v>
      </c>
      <c r="H25" s="20">
        <v>48.5</v>
      </c>
      <c r="I25" s="20">
        <v>10.5</v>
      </c>
      <c r="J25" s="23">
        <v>145.422</v>
      </c>
      <c r="K25" s="20">
        <v>127.6</v>
      </c>
      <c r="L25" s="20">
        <v>11.7</v>
      </c>
      <c r="M25" s="20">
        <v>6.8</v>
      </c>
      <c r="N25" s="20">
        <v>5.7</v>
      </c>
      <c r="O25" s="20">
        <v>34.799999999999997</v>
      </c>
      <c r="P25" s="20">
        <v>30.794</v>
      </c>
      <c r="Q25" s="20">
        <v>3.8330000000000002</v>
      </c>
      <c r="R25" s="21">
        <v>34.627000000000002</v>
      </c>
      <c r="S25" s="20">
        <v>12.9</v>
      </c>
      <c r="T25" s="20">
        <v>14.8</v>
      </c>
      <c r="U25" s="20">
        <v>5</v>
      </c>
      <c r="V25" s="20">
        <v>2.6</v>
      </c>
      <c r="W25" s="20">
        <v>5.24</v>
      </c>
      <c r="X25" s="20">
        <v>4.3760000000000003</v>
      </c>
      <c r="Y25" s="21">
        <v>9.6159999999999997</v>
      </c>
      <c r="Z25" s="20">
        <v>29.5</v>
      </c>
      <c r="AA25" s="20">
        <v>8.1</v>
      </c>
      <c r="AB25" s="20">
        <v>12.5</v>
      </c>
      <c r="AC25" s="20">
        <v>6.1</v>
      </c>
      <c r="AD25" s="20">
        <v>0</v>
      </c>
      <c r="AE25" s="20">
        <v>3.6</v>
      </c>
      <c r="AF25" s="20">
        <v>7.1</v>
      </c>
      <c r="AG25" s="20">
        <v>2.8</v>
      </c>
      <c r="AH25" s="20">
        <v>0.9</v>
      </c>
      <c r="AI25" s="20">
        <v>7.9</v>
      </c>
      <c r="AJ25" s="20">
        <v>1.3</v>
      </c>
      <c r="AK25" s="20">
        <v>0.5</v>
      </c>
      <c r="AL25" s="20">
        <v>1.6</v>
      </c>
      <c r="AM25" s="20">
        <v>0.6</v>
      </c>
      <c r="AN25" s="20">
        <v>0.503</v>
      </c>
      <c r="AO25" s="20">
        <v>0.54100000000000004</v>
      </c>
      <c r="AP25" s="20">
        <v>1.1140000000000001</v>
      </c>
      <c r="AQ25" s="20">
        <v>11.042000000000002</v>
      </c>
      <c r="AR25" s="22">
        <f t="shared" si="1"/>
        <v>507.2650000000001</v>
      </c>
    </row>
    <row r="26" spans="1:44" s="14" customFormat="1" hidden="1" outlineLevel="1" x14ac:dyDescent="0.3">
      <c r="A26" s="44">
        <v>42156</v>
      </c>
      <c r="B26" s="28">
        <f t="shared" si="3"/>
        <v>62.275000000000006</v>
      </c>
      <c r="C26" s="20">
        <v>34.871000000000002</v>
      </c>
      <c r="D26" s="20">
        <v>27.404</v>
      </c>
      <c r="E26" s="20">
        <v>17.8</v>
      </c>
      <c r="F26" s="20">
        <v>5.3</v>
      </c>
      <c r="G26" s="20">
        <v>20.5</v>
      </c>
      <c r="H26" s="20">
        <v>38.9</v>
      </c>
      <c r="I26" s="20">
        <v>9.1</v>
      </c>
      <c r="J26" s="23">
        <v>153.875</v>
      </c>
      <c r="K26" s="20">
        <v>121.5</v>
      </c>
      <c r="L26" s="20">
        <v>11.2</v>
      </c>
      <c r="M26" s="20">
        <v>6.3</v>
      </c>
      <c r="N26" s="20">
        <v>5.6</v>
      </c>
      <c r="O26" s="20">
        <v>40.1</v>
      </c>
      <c r="P26" s="20">
        <v>32.518000000000001</v>
      </c>
      <c r="Q26" s="20">
        <v>3.6019999999999999</v>
      </c>
      <c r="R26" s="21">
        <v>36.119999999999997</v>
      </c>
      <c r="S26" s="20">
        <v>12</v>
      </c>
      <c r="T26" s="20">
        <v>10.4</v>
      </c>
      <c r="U26" s="20">
        <v>6.3</v>
      </c>
      <c r="V26" s="20">
        <v>2.2000000000000002</v>
      </c>
      <c r="W26" s="20">
        <v>5.1849999999999996</v>
      </c>
      <c r="X26" s="20">
        <v>4.47</v>
      </c>
      <c r="Y26" s="21">
        <v>9.6549999999999994</v>
      </c>
      <c r="Z26" s="20">
        <v>30.5</v>
      </c>
      <c r="AA26" s="20">
        <v>9.6999999999999993</v>
      </c>
      <c r="AB26" s="20">
        <v>10.9</v>
      </c>
      <c r="AC26" s="20">
        <v>5.5</v>
      </c>
      <c r="AD26" s="20">
        <v>0</v>
      </c>
      <c r="AE26" s="20">
        <v>3.5</v>
      </c>
      <c r="AF26" s="20">
        <v>6</v>
      </c>
      <c r="AG26" s="20">
        <v>2.7</v>
      </c>
      <c r="AH26" s="20">
        <v>0.8</v>
      </c>
      <c r="AI26" s="20">
        <v>8.8000000000000007</v>
      </c>
      <c r="AJ26" s="20">
        <v>1.2</v>
      </c>
      <c r="AK26" s="20">
        <v>0.3</v>
      </c>
      <c r="AL26" s="20">
        <v>1.8</v>
      </c>
      <c r="AM26" s="20">
        <v>0.5</v>
      </c>
      <c r="AN26" s="20">
        <v>0.497</v>
      </c>
      <c r="AO26" s="20">
        <v>0.60899999999999999</v>
      </c>
      <c r="AP26" s="20">
        <v>1.5429999999999999</v>
      </c>
      <c r="AQ26" s="20">
        <v>9.8509999999999991</v>
      </c>
      <c r="AR26" s="22">
        <f t="shared" si="1"/>
        <v>509.95000000000005</v>
      </c>
    </row>
    <row r="27" spans="1:44" s="14" customFormat="1" hidden="1" outlineLevel="1" x14ac:dyDescent="0.3">
      <c r="A27" s="44">
        <v>42186</v>
      </c>
      <c r="B27" s="28">
        <f t="shared" si="3"/>
        <v>52.233000000000004</v>
      </c>
      <c r="C27" s="20">
        <v>25.21</v>
      </c>
      <c r="D27" s="20">
        <v>27.023</v>
      </c>
      <c r="E27" s="20">
        <v>21.8</v>
      </c>
      <c r="F27" s="20">
        <v>1.7</v>
      </c>
      <c r="G27" s="20">
        <v>19.2</v>
      </c>
      <c r="H27" s="20">
        <v>39.1</v>
      </c>
      <c r="I27" s="20">
        <v>8.8000000000000007</v>
      </c>
      <c r="J27" s="23">
        <v>142.83300000000003</v>
      </c>
      <c r="K27" s="20">
        <v>78.599999999999994</v>
      </c>
      <c r="L27" s="20">
        <v>12.6</v>
      </c>
      <c r="M27" s="20">
        <v>3.6</v>
      </c>
      <c r="N27" s="20">
        <v>5.8</v>
      </c>
      <c r="O27" s="20">
        <v>33.299999999999997</v>
      </c>
      <c r="P27" s="20">
        <v>33.877000000000002</v>
      </c>
      <c r="Q27" s="20">
        <v>2.7069999999999999</v>
      </c>
      <c r="R27" s="21">
        <v>36.584000000000003</v>
      </c>
      <c r="S27" s="20">
        <v>12.2</v>
      </c>
      <c r="T27" s="20">
        <v>13.3</v>
      </c>
      <c r="U27" s="20">
        <v>5.6</v>
      </c>
      <c r="V27" s="20">
        <v>2.4</v>
      </c>
      <c r="W27" s="20">
        <v>4.8419999999999996</v>
      </c>
      <c r="X27" s="20">
        <v>4.3319999999999999</v>
      </c>
      <c r="Y27" s="21">
        <v>9.1739999999999995</v>
      </c>
      <c r="Z27" s="20">
        <v>33.5</v>
      </c>
      <c r="AA27" s="20">
        <v>9.8000000000000007</v>
      </c>
      <c r="AB27" s="20">
        <v>12.5</v>
      </c>
      <c r="AC27" s="20">
        <v>6.1</v>
      </c>
      <c r="AD27" s="20">
        <v>0</v>
      </c>
      <c r="AE27" s="20">
        <v>1</v>
      </c>
      <c r="AF27" s="20">
        <v>6.5</v>
      </c>
      <c r="AG27" s="20">
        <v>2.6</v>
      </c>
      <c r="AH27" s="20">
        <v>0.8</v>
      </c>
      <c r="AI27" s="20">
        <v>8.6</v>
      </c>
      <c r="AJ27" s="20">
        <v>1.2</v>
      </c>
      <c r="AK27" s="20">
        <v>0.3</v>
      </c>
      <c r="AL27" s="20">
        <v>1.8</v>
      </c>
      <c r="AM27" s="20">
        <v>0.5</v>
      </c>
      <c r="AN27" s="20">
        <v>0.503</v>
      </c>
      <c r="AO27" s="20">
        <v>0.38300000000000001</v>
      </c>
      <c r="AP27" s="20">
        <v>1.389</v>
      </c>
      <c r="AQ27" s="20">
        <v>13.125</v>
      </c>
      <c r="AR27" s="22">
        <f t="shared" si="1"/>
        <v>456.59100000000007</v>
      </c>
    </row>
    <row r="28" spans="1:44" s="14" customFormat="1" hidden="1" outlineLevel="1" x14ac:dyDescent="0.3">
      <c r="A28" s="44">
        <v>42217</v>
      </c>
      <c r="B28" s="28">
        <f t="shared" si="3"/>
        <v>49.819999999999993</v>
      </c>
      <c r="C28" s="20">
        <v>23.707999999999998</v>
      </c>
      <c r="D28" s="20">
        <v>26.111999999999998</v>
      </c>
      <c r="E28" s="20">
        <v>19.5</v>
      </c>
      <c r="F28" s="20">
        <v>3</v>
      </c>
      <c r="G28" s="20">
        <v>17.2</v>
      </c>
      <c r="H28" s="20">
        <v>39.200000000000003</v>
      </c>
      <c r="I28" s="20">
        <v>10.5</v>
      </c>
      <c r="J28" s="23">
        <v>139.22</v>
      </c>
      <c r="K28" s="20">
        <v>82.9</v>
      </c>
      <c r="L28" s="20">
        <v>14.4</v>
      </c>
      <c r="M28" s="20">
        <v>4.3</v>
      </c>
      <c r="N28" s="20">
        <v>5.6</v>
      </c>
      <c r="O28" s="20">
        <v>24.7</v>
      </c>
      <c r="P28" s="20">
        <v>28.966000000000001</v>
      </c>
      <c r="Q28" s="20">
        <v>4.5570000000000004</v>
      </c>
      <c r="R28" s="21">
        <v>33.523000000000003</v>
      </c>
      <c r="S28" s="20">
        <v>12.5</v>
      </c>
      <c r="T28" s="20">
        <v>11.9</v>
      </c>
      <c r="U28" s="20">
        <v>5.4</v>
      </c>
      <c r="V28" s="20">
        <v>2.2000000000000002</v>
      </c>
      <c r="W28" s="20">
        <v>4.6500000000000004</v>
      </c>
      <c r="X28" s="20">
        <v>4.165</v>
      </c>
      <c r="Y28" s="21">
        <v>8.8150000000000013</v>
      </c>
      <c r="Z28" s="20">
        <v>32.4</v>
      </c>
      <c r="AA28" s="20">
        <v>9.8000000000000007</v>
      </c>
      <c r="AB28" s="20">
        <v>10.3</v>
      </c>
      <c r="AC28" s="20">
        <v>6.1</v>
      </c>
      <c r="AD28" s="20">
        <v>0</v>
      </c>
      <c r="AE28" s="20">
        <v>2.2000000000000002</v>
      </c>
      <c r="AF28" s="20">
        <v>6.2</v>
      </c>
      <c r="AG28" s="20">
        <v>2.7</v>
      </c>
      <c r="AH28" s="20">
        <v>0.8</v>
      </c>
      <c r="AI28" s="20">
        <v>6.6</v>
      </c>
      <c r="AJ28" s="20">
        <v>1.2</v>
      </c>
      <c r="AK28" s="20">
        <v>0.4</v>
      </c>
      <c r="AL28" s="20">
        <v>1.8</v>
      </c>
      <c r="AM28" s="20">
        <v>0.4</v>
      </c>
      <c r="AN28" s="20">
        <v>0.38500000000000001</v>
      </c>
      <c r="AO28" s="20">
        <v>0.53200000000000003</v>
      </c>
      <c r="AP28" s="20">
        <v>1.3640000000000001</v>
      </c>
      <c r="AQ28" s="20">
        <v>13.719000000000001</v>
      </c>
      <c r="AR28" s="22">
        <f t="shared" si="1"/>
        <v>442.35799999999989</v>
      </c>
    </row>
    <row r="29" spans="1:44" s="14" customFormat="1" hidden="1" outlineLevel="1" x14ac:dyDescent="0.3">
      <c r="A29" s="44">
        <v>42248</v>
      </c>
      <c r="B29" s="28">
        <f t="shared" si="3"/>
        <v>54.213999999999999</v>
      </c>
      <c r="C29" s="20">
        <v>29.338999999999999</v>
      </c>
      <c r="D29" s="20">
        <v>24.875</v>
      </c>
      <c r="E29" s="20">
        <v>23.5</v>
      </c>
      <c r="F29" s="20">
        <v>2.2999999999999998</v>
      </c>
      <c r="G29" s="20">
        <v>18.600000000000001</v>
      </c>
      <c r="H29" s="20">
        <v>38.299999999999997</v>
      </c>
      <c r="I29" s="20">
        <v>9.8000000000000007</v>
      </c>
      <c r="J29" s="23">
        <v>146.714</v>
      </c>
      <c r="K29" s="20">
        <v>75.099999999999994</v>
      </c>
      <c r="L29" s="20">
        <v>16.100000000000001</v>
      </c>
      <c r="M29" s="20">
        <v>5.8</v>
      </c>
      <c r="N29" s="20">
        <v>5.5</v>
      </c>
      <c r="O29" s="20">
        <v>40.799999999999997</v>
      </c>
      <c r="P29" s="20">
        <v>35.715000000000003</v>
      </c>
      <c r="Q29" s="20">
        <v>3.7010000000000001</v>
      </c>
      <c r="R29" s="21">
        <v>39.416000000000004</v>
      </c>
      <c r="S29" s="20">
        <v>12.3</v>
      </c>
      <c r="T29" s="20">
        <v>11.6</v>
      </c>
      <c r="U29" s="20">
        <v>6</v>
      </c>
      <c r="V29" s="20">
        <v>2.2999999999999998</v>
      </c>
      <c r="W29" s="20">
        <v>4.4530000000000003</v>
      </c>
      <c r="X29" s="20">
        <v>4.33</v>
      </c>
      <c r="Y29" s="21">
        <v>8.7830000000000013</v>
      </c>
      <c r="Z29" s="20">
        <v>33</v>
      </c>
      <c r="AA29" s="20">
        <v>9</v>
      </c>
      <c r="AB29" s="20">
        <v>9.1999999999999993</v>
      </c>
      <c r="AC29" s="20">
        <v>6.5</v>
      </c>
      <c r="AD29" s="20">
        <v>2.2000000000000002</v>
      </c>
      <c r="AE29" s="20">
        <v>3</v>
      </c>
      <c r="AF29" s="20">
        <v>4.5999999999999996</v>
      </c>
      <c r="AG29" s="20">
        <v>2.7</v>
      </c>
      <c r="AH29" s="20">
        <v>0.7</v>
      </c>
      <c r="AI29" s="20">
        <v>7.9</v>
      </c>
      <c r="AJ29" s="20">
        <v>1.3</v>
      </c>
      <c r="AK29" s="20">
        <v>0.4</v>
      </c>
      <c r="AL29" s="20">
        <v>1.9</v>
      </c>
      <c r="AM29" s="20">
        <v>0.5</v>
      </c>
      <c r="AN29" s="20">
        <v>0.38100000000000001</v>
      </c>
      <c r="AO29" s="20">
        <v>0.47099999999999997</v>
      </c>
      <c r="AP29" s="20">
        <v>1.38</v>
      </c>
      <c r="AQ29" s="20">
        <v>12.868000000000002</v>
      </c>
      <c r="AR29" s="22">
        <f t="shared" si="1"/>
        <v>468.41299999999995</v>
      </c>
    </row>
    <row r="30" spans="1:44" s="14" customFormat="1" hidden="1" outlineLevel="1" x14ac:dyDescent="0.3">
      <c r="A30" s="44">
        <v>42278</v>
      </c>
      <c r="B30" s="28">
        <f t="shared" si="3"/>
        <v>66.837999999999994</v>
      </c>
      <c r="C30" s="20">
        <v>39.643999999999998</v>
      </c>
      <c r="D30" s="20">
        <v>27.193999999999999</v>
      </c>
      <c r="E30" s="20">
        <v>22.4</v>
      </c>
      <c r="F30" s="20">
        <v>7.1</v>
      </c>
      <c r="G30" s="20">
        <v>18.7</v>
      </c>
      <c r="H30" s="20">
        <v>41.3</v>
      </c>
      <c r="I30" s="20">
        <v>11.1</v>
      </c>
      <c r="J30" s="23">
        <v>167.43799999999999</v>
      </c>
      <c r="K30" s="20">
        <v>74.900000000000006</v>
      </c>
      <c r="L30" s="20">
        <v>17</v>
      </c>
      <c r="M30" s="20">
        <v>6</v>
      </c>
      <c r="N30" s="20">
        <v>6.5</v>
      </c>
      <c r="O30" s="20">
        <v>43.6</v>
      </c>
      <c r="P30" s="20">
        <v>39.728000000000002</v>
      </c>
      <c r="Q30" s="20">
        <v>2.6230000000000002</v>
      </c>
      <c r="R30" s="21">
        <v>42.350999999999999</v>
      </c>
      <c r="S30" s="20">
        <v>11.3</v>
      </c>
      <c r="T30" s="20">
        <v>10.9</v>
      </c>
      <c r="U30" s="20">
        <v>9.1</v>
      </c>
      <c r="V30" s="20">
        <v>2.1</v>
      </c>
      <c r="W30" s="20">
        <v>4.5549999999999997</v>
      </c>
      <c r="X30" s="20">
        <v>3.8220000000000001</v>
      </c>
      <c r="Y30" s="21">
        <v>8.3769999999999989</v>
      </c>
      <c r="Z30" s="20">
        <v>28.4</v>
      </c>
      <c r="AA30" s="20">
        <v>9.6</v>
      </c>
      <c r="AB30" s="20">
        <v>11.9</v>
      </c>
      <c r="AC30" s="20">
        <v>6.2</v>
      </c>
      <c r="AD30" s="20">
        <v>3.3</v>
      </c>
      <c r="AE30" s="20">
        <v>3.1</v>
      </c>
      <c r="AF30" s="20">
        <v>6.2</v>
      </c>
      <c r="AG30" s="20">
        <v>2.8</v>
      </c>
      <c r="AH30" s="20">
        <v>0.8</v>
      </c>
      <c r="AI30" s="20">
        <v>8.4</v>
      </c>
      <c r="AJ30" s="20">
        <v>1.2</v>
      </c>
      <c r="AK30" s="20">
        <v>0.4</v>
      </c>
      <c r="AL30" s="20">
        <v>2</v>
      </c>
      <c r="AM30" s="20">
        <v>0.7</v>
      </c>
      <c r="AN30" s="20">
        <v>0.48599999999999999</v>
      </c>
      <c r="AO30" s="20">
        <v>0.52600000000000002</v>
      </c>
      <c r="AP30" s="20">
        <v>1.43</v>
      </c>
      <c r="AQ30" s="20">
        <v>11.558</v>
      </c>
      <c r="AR30" s="22">
        <f t="shared" si="1"/>
        <v>498.56599999999997</v>
      </c>
    </row>
    <row r="31" spans="1:44" s="14" customFormat="1" hidden="1" outlineLevel="1" x14ac:dyDescent="0.3">
      <c r="A31" s="44">
        <v>42309</v>
      </c>
      <c r="B31" s="28">
        <f t="shared" si="3"/>
        <v>59.073999999999998</v>
      </c>
      <c r="C31" s="20">
        <v>31.556999999999999</v>
      </c>
      <c r="D31" s="20">
        <v>27.516999999999999</v>
      </c>
      <c r="E31" s="20">
        <v>22.2</v>
      </c>
      <c r="F31" s="20">
        <v>5.2</v>
      </c>
      <c r="G31" s="20">
        <v>20</v>
      </c>
      <c r="H31" s="20">
        <v>38.1</v>
      </c>
      <c r="I31" s="20">
        <v>11.2</v>
      </c>
      <c r="J31" s="23">
        <v>155.774</v>
      </c>
      <c r="K31" s="20">
        <v>75</v>
      </c>
      <c r="L31" s="20">
        <v>16.7</v>
      </c>
      <c r="M31" s="20">
        <v>6.6</v>
      </c>
      <c r="N31" s="20">
        <v>6.3</v>
      </c>
      <c r="O31" s="20">
        <v>43.2</v>
      </c>
      <c r="P31" s="20">
        <v>33.832999999999998</v>
      </c>
      <c r="Q31" s="20">
        <v>3.165</v>
      </c>
      <c r="R31" s="21">
        <v>36.997999999999998</v>
      </c>
      <c r="S31" s="20">
        <v>10.7</v>
      </c>
      <c r="T31" s="20">
        <v>10.7</v>
      </c>
      <c r="U31" s="20">
        <v>8.3000000000000007</v>
      </c>
      <c r="V31" s="20">
        <v>1.9</v>
      </c>
      <c r="W31" s="20">
        <v>4.3040000000000003</v>
      </c>
      <c r="X31" s="20">
        <v>4.7409999999999997</v>
      </c>
      <c r="Y31" s="21">
        <v>9.0449999999999999</v>
      </c>
      <c r="Z31" s="20">
        <v>35.1</v>
      </c>
      <c r="AA31" s="20">
        <v>9.1</v>
      </c>
      <c r="AB31" s="20">
        <v>11</v>
      </c>
      <c r="AC31" s="20">
        <v>5.6</v>
      </c>
      <c r="AD31" s="20">
        <v>3.2</v>
      </c>
      <c r="AE31" s="20">
        <v>3.1</v>
      </c>
      <c r="AF31" s="20">
        <v>6.3</v>
      </c>
      <c r="AG31" s="20">
        <v>2.2999999999999998</v>
      </c>
      <c r="AH31" s="20">
        <v>0.9</v>
      </c>
      <c r="AI31" s="20">
        <v>8.1</v>
      </c>
      <c r="AJ31" s="20">
        <v>1.2</v>
      </c>
      <c r="AK31" s="20">
        <v>0.4</v>
      </c>
      <c r="AL31" s="20">
        <v>1.8</v>
      </c>
      <c r="AM31" s="20">
        <v>0.6</v>
      </c>
      <c r="AN31" s="20">
        <v>0.39800000000000002</v>
      </c>
      <c r="AO31" s="20">
        <v>0.48199999999999998</v>
      </c>
      <c r="AP31" s="20">
        <v>1.3360000000000001</v>
      </c>
      <c r="AQ31" s="20">
        <v>12.384</v>
      </c>
      <c r="AR31" s="22">
        <f t="shared" si="1"/>
        <v>484.51700000000005</v>
      </c>
    </row>
    <row r="32" spans="1:44" s="14" customFormat="1" hidden="1" outlineLevel="1" x14ac:dyDescent="0.3">
      <c r="A32" s="44">
        <v>42339</v>
      </c>
      <c r="B32" s="28">
        <f t="shared" si="3"/>
        <v>55.334999999999994</v>
      </c>
      <c r="C32" s="20">
        <v>28.207999999999998</v>
      </c>
      <c r="D32" s="20">
        <v>27.126999999999999</v>
      </c>
      <c r="E32" s="20">
        <v>21.3</v>
      </c>
      <c r="F32" s="20">
        <v>6.8</v>
      </c>
      <c r="G32" s="20">
        <v>18.100000000000001</v>
      </c>
      <c r="H32" s="20">
        <v>36.299999999999997</v>
      </c>
      <c r="I32" s="20">
        <v>11.3</v>
      </c>
      <c r="J32" s="23">
        <v>149.13499999999999</v>
      </c>
      <c r="K32" s="20">
        <v>74.900000000000006</v>
      </c>
      <c r="L32" s="20">
        <v>16.5</v>
      </c>
      <c r="M32" s="20">
        <v>6.2</v>
      </c>
      <c r="N32" s="20">
        <v>6.6</v>
      </c>
      <c r="O32" s="20">
        <v>53.1</v>
      </c>
      <c r="P32" s="20">
        <v>37.515000000000001</v>
      </c>
      <c r="Q32" s="20">
        <v>3.097</v>
      </c>
      <c r="R32" s="21">
        <v>40.612000000000002</v>
      </c>
      <c r="S32" s="20">
        <v>11.2</v>
      </c>
      <c r="T32" s="20">
        <v>11.2</v>
      </c>
      <c r="U32" s="20">
        <v>8.6</v>
      </c>
      <c r="V32" s="20">
        <v>1.7</v>
      </c>
      <c r="W32" s="20">
        <v>4.835</v>
      </c>
      <c r="X32" s="20">
        <v>4.5250000000000004</v>
      </c>
      <c r="Y32" s="21">
        <v>9.36</v>
      </c>
      <c r="Z32" s="20">
        <v>38.1</v>
      </c>
      <c r="AA32" s="20">
        <v>8.9</v>
      </c>
      <c r="AB32" s="20">
        <v>11.9</v>
      </c>
      <c r="AC32" s="20">
        <v>5.4</v>
      </c>
      <c r="AD32" s="20">
        <v>3.5</v>
      </c>
      <c r="AE32" s="20">
        <v>3.1</v>
      </c>
      <c r="AF32" s="20">
        <v>7</v>
      </c>
      <c r="AG32" s="20">
        <v>0.7</v>
      </c>
      <c r="AH32" s="20">
        <v>0.8</v>
      </c>
      <c r="AI32" s="20">
        <v>8.4</v>
      </c>
      <c r="AJ32" s="20">
        <v>1.3</v>
      </c>
      <c r="AK32" s="20">
        <v>0.5</v>
      </c>
      <c r="AL32" s="20">
        <v>1.9</v>
      </c>
      <c r="AM32" s="20">
        <v>0.6</v>
      </c>
      <c r="AN32" s="20">
        <v>0.38600000000000001</v>
      </c>
      <c r="AO32" s="20">
        <v>0.51700000000000002</v>
      </c>
      <c r="AP32" s="20">
        <v>1.3220000000000001</v>
      </c>
      <c r="AQ32" s="20">
        <v>12.475</v>
      </c>
      <c r="AR32" s="22">
        <f t="shared" si="1"/>
        <v>495.90699999999993</v>
      </c>
    </row>
    <row r="33" spans="1:44" s="14" customFormat="1" collapsed="1" x14ac:dyDescent="0.3">
      <c r="A33" s="45" t="s">
        <v>34</v>
      </c>
      <c r="B33" s="24">
        <f>SUM(B21:B32)</f>
        <v>624.37400000000002</v>
      </c>
      <c r="C33" s="24">
        <f>SUM(C21:C32)</f>
        <v>308.625</v>
      </c>
      <c r="D33" s="24">
        <f t="shared" ref="D33:AR33" si="4">SUM(D21:D32)</f>
        <v>315.74900000000002</v>
      </c>
      <c r="E33" s="24">
        <f t="shared" si="4"/>
        <v>238.3</v>
      </c>
      <c r="F33" s="24">
        <f t="shared" si="4"/>
        <v>48.6</v>
      </c>
      <c r="G33" s="24">
        <f t="shared" si="4"/>
        <v>224.29999999999995</v>
      </c>
      <c r="H33" s="24">
        <f t="shared" si="4"/>
        <v>471.20000000000005</v>
      </c>
      <c r="I33" s="24">
        <f t="shared" si="4"/>
        <v>125</v>
      </c>
      <c r="J33" s="25">
        <f t="shared" si="4"/>
        <v>1731.7740000000001</v>
      </c>
      <c r="K33" s="24">
        <f t="shared" si="4"/>
        <v>1152.5</v>
      </c>
      <c r="L33" s="24">
        <f>SUM(L21:L32)</f>
        <v>175.6</v>
      </c>
      <c r="M33" s="24">
        <f>SUM(M21:M32)</f>
        <v>74.399999999999991</v>
      </c>
      <c r="N33" s="24">
        <f>SUM(N21:N32)</f>
        <v>70.599999999999994</v>
      </c>
      <c r="O33" s="24">
        <f t="shared" si="4"/>
        <v>455.3</v>
      </c>
      <c r="P33" s="24">
        <f t="shared" si="4"/>
        <v>401.71699999999998</v>
      </c>
      <c r="Q33" s="24">
        <f t="shared" si="4"/>
        <v>36.067000000000007</v>
      </c>
      <c r="R33" s="26">
        <f t="shared" si="4"/>
        <v>437.78400000000005</v>
      </c>
      <c r="S33" s="24">
        <f t="shared" si="4"/>
        <v>147.19999999999999</v>
      </c>
      <c r="T33" s="24">
        <f t="shared" si="4"/>
        <v>150.19999999999999</v>
      </c>
      <c r="U33" s="24">
        <f>SUM(U21:U32)</f>
        <v>74.899999999999991</v>
      </c>
      <c r="V33" s="24">
        <f>SUM(V21:V32)</f>
        <v>24.700000000000003</v>
      </c>
      <c r="W33" s="24">
        <f t="shared" si="4"/>
        <v>56.599000000000004</v>
      </c>
      <c r="X33" s="24">
        <f t="shared" si="4"/>
        <v>49.694000000000003</v>
      </c>
      <c r="Y33" s="26">
        <f t="shared" si="4"/>
        <v>106.29300000000001</v>
      </c>
      <c r="Z33" s="24">
        <f>SUM(Z21:Z32)</f>
        <v>375.80000000000007</v>
      </c>
      <c r="AA33" s="24">
        <f t="shared" si="4"/>
        <v>103.39999999999999</v>
      </c>
      <c r="AB33" s="24">
        <f>SUM(AB21:AB32)</f>
        <v>145.20000000000002</v>
      </c>
      <c r="AC33" s="24">
        <f t="shared" si="4"/>
        <v>75.900000000000006</v>
      </c>
      <c r="AD33" s="24">
        <f>SUM(AD21:AD32)</f>
        <v>12.2</v>
      </c>
      <c r="AE33" s="24">
        <f t="shared" si="4"/>
        <v>39.1</v>
      </c>
      <c r="AF33" s="24">
        <f>SUM(AF21:AF32)</f>
        <v>73.000000000000014</v>
      </c>
      <c r="AG33" s="24">
        <f t="shared" si="4"/>
        <v>29.4</v>
      </c>
      <c r="AH33" s="24">
        <f>SUM(AH21:AH32)</f>
        <v>9.7000000000000011</v>
      </c>
      <c r="AI33" s="24">
        <f t="shared" si="4"/>
        <v>87.9</v>
      </c>
      <c r="AJ33" s="24">
        <f t="shared" si="4"/>
        <v>14.1</v>
      </c>
      <c r="AK33" s="24">
        <f t="shared" si="4"/>
        <v>5.8000000000000007</v>
      </c>
      <c r="AL33" s="24">
        <f t="shared" si="4"/>
        <v>20.100000000000001</v>
      </c>
      <c r="AM33" s="24">
        <f t="shared" si="4"/>
        <v>8.1</v>
      </c>
      <c r="AN33" s="24">
        <f t="shared" si="4"/>
        <v>5.4729999999999999</v>
      </c>
      <c r="AO33" s="24">
        <f t="shared" si="4"/>
        <v>5.5360000000000005</v>
      </c>
      <c r="AP33" s="24">
        <f t="shared" si="4"/>
        <v>15.771000000000001</v>
      </c>
      <c r="AQ33" s="24">
        <v>144.32</v>
      </c>
      <c r="AR33" s="27">
        <f t="shared" si="4"/>
        <v>5772.0509999999995</v>
      </c>
    </row>
    <row r="34" spans="1:44" s="14" customFormat="1" hidden="1" outlineLevel="1" x14ac:dyDescent="0.3">
      <c r="A34" s="44">
        <v>42370</v>
      </c>
      <c r="B34" s="28">
        <f t="shared" ref="B34:B45" si="5">C34+D34</f>
        <v>46.44</v>
      </c>
      <c r="C34" s="20">
        <v>16.846</v>
      </c>
      <c r="D34" s="20">
        <v>29.594000000000001</v>
      </c>
      <c r="E34" s="20">
        <v>18.600000000000001</v>
      </c>
      <c r="F34" s="20">
        <v>4.9000000000000004</v>
      </c>
      <c r="G34" s="20">
        <v>19.7</v>
      </c>
      <c r="H34" s="20">
        <v>38.700000000000003</v>
      </c>
      <c r="I34" s="20">
        <v>9.6</v>
      </c>
      <c r="J34" s="23">
        <v>137.94</v>
      </c>
      <c r="K34" s="20">
        <v>92.7</v>
      </c>
      <c r="L34" s="20">
        <v>13.9</v>
      </c>
      <c r="M34" s="20">
        <v>5.4</v>
      </c>
      <c r="N34" s="20">
        <v>6.2</v>
      </c>
      <c r="O34" s="20">
        <v>38</v>
      </c>
      <c r="P34" s="20">
        <v>28.812999999999999</v>
      </c>
      <c r="Q34" s="20">
        <v>3.726</v>
      </c>
      <c r="R34" s="21">
        <v>32.539000000000001</v>
      </c>
      <c r="S34" s="20">
        <v>9.9</v>
      </c>
      <c r="T34" s="20">
        <v>11.2</v>
      </c>
      <c r="U34" s="20">
        <v>8.1999999999999993</v>
      </c>
      <c r="V34" s="20">
        <v>1.9</v>
      </c>
      <c r="W34" s="20">
        <v>4.258</v>
      </c>
      <c r="X34" s="20">
        <v>4.6459999999999999</v>
      </c>
      <c r="Y34" s="21">
        <v>8.9039999999999999</v>
      </c>
      <c r="Z34" s="20">
        <v>29.5</v>
      </c>
      <c r="AA34" s="20">
        <v>7.1</v>
      </c>
      <c r="AB34" s="20">
        <v>11.7</v>
      </c>
      <c r="AC34" s="20">
        <v>4.8</v>
      </c>
      <c r="AD34" s="20">
        <v>3.2</v>
      </c>
      <c r="AE34" s="20">
        <v>3.2</v>
      </c>
      <c r="AF34" s="20">
        <v>6.2</v>
      </c>
      <c r="AG34" s="20">
        <v>0</v>
      </c>
      <c r="AH34" s="20">
        <v>0.2</v>
      </c>
      <c r="AI34" s="20">
        <v>8.5</v>
      </c>
      <c r="AJ34" s="20">
        <v>1.1000000000000001</v>
      </c>
      <c r="AK34" s="20">
        <v>0.5</v>
      </c>
      <c r="AL34" s="20">
        <v>1.8</v>
      </c>
      <c r="AM34" s="20">
        <v>0.7</v>
      </c>
      <c r="AN34" s="20">
        <v>0.53400000000000003</v>
      </c>
      <c r="AO34" s="20">
        <v>0.42399999999999999</v>
      </c>
      <c r="AP34" s="20">
        <v>1.4079999999999999</v>
      </c>
      <c r="AQ34" s="20">
        <v>12.534000000000001</v>
      </c>
      <c r="AR34" s="22">
        <f t="shared" si="1"/>
        <v>460.18299999999988</v>
      </c>
    </row>
    <row r="35" spans="1:44" s="14" customFormat="1" hidden="1" outlineLevel="1" x14ac:dyDescent="0.3">
      <c r="A35" s="44">
        <v>42401</v>
      </c>
      <c r="B35" s="28">
        <f t="shared" si="5"/>
        <v>49.054000000000002</v>
      </c>
      <c r="C35" s="20">
        <v>22.068999999999999</v>
      </c>
      <c r="D35" s="20">
        <v>26.984999999999999</v>
      </c>
      <c r="E35" s="20">
        <v>21.5</v>
      </c>
      <c r="F35" s="20">
        <v>4.7</v>
      </c>
      <c r="G35" s="20">
        <v>14.4</v>
      </c>
      <c r="H35" s="20">
        <v>42.5</v>
      </c>
      <c r="I35" s="20">
        <v>9.6</v>
      </c>
      <c r="J35" s="23">
        <v>141.75399999999999</v>
      </c>
      <c r="K35" s="20">
        <v>81</v>
      </c>
      <c r="L35" s="20">
        <v>12.2</v>
      </c>
      <c r="M35" s="20">
        <v>6.8</v>
      </c>
      <c r="N35" s="20">
        <v>6.1</v>
      </c>
      <c r="O35" s="20">
        <v>40.1</v>
      </c>
      <c r="P35" s="20">
        <v>24.745999999999999</v>
      </c>
      <c r="Q35" s="20">
        <v>3.3090000000000002</v>
      </c>
      <c r="R35" s="21">
        <v>28.055</v>
      </c>
      <c r="S35" s="20">
        <v>9.3000000000000007</v>
      </c>
      <c r="T35" s="20">
        <v>11.5</v>
      </c>
      <c r="U35" s="20">
        <v>8.4</v>
      </c>
      <c r="V35" s="20">
        <v>1.9</v>
      </c>
      <c r="W35" s="20">
        <v>3.7530000000000001</v>
      </c>
      <c r="X35" s="20">
        <v>4.2320000000000002</v>
      </c>
      <c r="Y35" s="21">
        <v>7.9850000000000003</v>
      </c>
      <c r="Z35" s="20">
        <v>28</v>
      </c>
      <c r="AA35" s="20">
        <v>8.8000000000000007</v>
      </c>
      <c r="AB35" s="20">
        <v>12.3</v>
      </c>
      <c r="AC35" s="20">
        <v>3.8</v>
      </c>
      <c r="AD35" s="20">
        <v>3.7</v>
      </c>
      <c r="AE35" s="20">
        <v>2.5</v>
      </c>
      <c r="AF35" s="20">
        <v>6.2</v>
      </c>
      <c r="AG35" s="20">
        <v>0</v>
      </c>
      <c r="AH35" s="20">
        <v>0</v>
      </c>
      <c r="AI35" s="20">
        <v>9.5</v>
      </c>
      <c r="AJ35" s="20">
        <v>1.1000000000000001</v>
      </c>
      <c r="AK35" s="20">
        <v>0.4</v>
      </c>
      <c r="AL35" s="20">
        <v>1.4</v>
      </c>
      <c r="AM35" s="20">
        <v>0.6</v>
      </c>
      <c r="AN35" s="20">
        <v>0.44400000000000001</v>
      </c>
      <c r="AO35" s="20">
        <v>0.28399999999999997</v>
      </c>
      <c r="AP35" s="20">
        <v>1.1120000000000001</v>
      </c>
      <c r="AQ35" s="20">
        <v>11.96</v>
      </c>
      <c r="AR35" s="22">
        <f t="shared" si="1"/>
        <v>447.19400000000002</v>
      </c>
    </row>
    <row r="36" spans="1:44" s="14" customFormat="1" hidden="1" outlineLevel="1" x14ac:dyDescent="0.3">
      <c r="A36" s="44">
        <v>42430</v>
      </c>
      <c r="B36" s="28">
        <f t="shared" si="5"/>
        <v>54.242999999999995</v>
      </c>
      <c r="C36" s="20">
        <v>27.251999999999999</v>
      </c>
      <c r="D36" s="20">
        <v>26.991</v>
      </c>
      <c r="E36" s="20">
        <v>22.9</v>
      </c>
      <c r="F36" s="20">
        <v>5.4</v>
      </c>
      <c r="G36" s="20">
        <v>17.600000000000001</v>
      </c>
      <c r="H36" s="20">
        <v>46.6</v>
      </c>
      <c r="I36" s="20">
        <v>10.4</v>
      </c>
      <c r="J36" s="23">
        <v>157.143</v>
      </c>
      <c r="K36" s="20">
        <v>91.9</v>
      </c>
      <c r="L36" s="20">
        <v>13.7</v>
      </c>
      <c r="M36" s="20">
        <v>7.8</v>
      </c>
      <c r="N36" s="20">
        <v>6.1</v>
      </c>
      <c r="O36" s="20">
        <v>38</v>
      </c>
      <c r="P36" s="20">
        <v>31.581</v>
      </c>
      <c r="Q36" s="20">
        <v>3.21</v>
      </c>
      <c r="R36" s="21">
        <v>34.790999999999997</v>
      </c>
      <c r="S36" s="20">
        <v>9.1999999999999993</v>
      </c>
      <c r="T36" s="20">
        <v>11.4</v>
      </c>
      <c r="U36" s="20">
        <v>10.3</v>
      </c>
      <c r="V36" s="20">
        <v>2.2000000000000002</v>
      </c>
      <c r="W36" s="20">
        <v>4.2320000000000002</v>
      </c>
      <c r="X36" s="20">
        <v>4.8280000000000003</v>
      </c>
      <c r="Y36" s="21">
        <v>9.06</v>
      </c>
      <c r="Z36" s="20">
        <v>27.6</v>
      </c>
      <c r="AA36" s="20">
        <v>8.9</v>
      </c>
      <c r="AB36" s="20">
        <v>13.2</v>
      </c>
      <c r="AC36" s="20">
        <v>4</v>
      </c>
      <c r="AD36" s="20">
        <v>5.7</v>
      </c>
      <c r="AE36" s="20">
        <v>3.1</v>
      </c>
      <c r="AF36" s="20">
        <v>5.5</v>
      </c>
      <c r="AG36" s="20">
        <v>0</v>
      </c>
      <c r="AH36" s="20">
        <v>0</v>
      </c>
      <c r="AI36" s="20">
        <v>9.5</v>
      </c>
      <c r="AJ36" s="20">
        <v>1.1000000000000001</v>
      </c>
      <c r="AK36" s="20">
        <v>0.4</v>
      </c>
      <c r="AL36" s="20">
        <v>1.6</v>
      </c>
      <c r="AM36" s="20">
        <v>0.7</v>
      </c>
      <c r="AN36" s="20">
        <v>0.45900000000000002</v>
      </c>
      <c r="AO36" s="20">
        <v>0.432</v>
      </c>
      <c r="AP36" s="20">
        <v>1.337</v>
      </c>
      <c r="AQ36" s="20">
        <v>12.172000000000001</v>
      </c>
      <c r="AR36" s="22">
        <f t="shared" si="1"/>
        <v>487.29400000000004</v>
      </c>
    </row>
    <row r="37" spans="1:44" s="14" customFormat="1" hidden="1" outlineLevel="1" x14ac:dyDescent="0.3">
      <c r="A37" s="44">
        <v>42461</v>
      </c>
      <c r="B37" s="28">
        <f t="shared" si="5"/>
        <v>50.768000000000001</v>
      </c>
      <c r="C37" s="20">
        <v>24.524999999999999</v>
      </c>
      <c r="D37" s="20">
        <v>26.242999999999999</v>
      </c>
      <c r="E37" s="20">
        <v>19.2</v>
      </c>
      <c r="F37" s="20">
        <v>4.7</v>
      </c>
      <c r="G37" s="20">
        <v>12</v>
      </c>
      <c r="H37" s="20">
        <v>25.9</v>
      </c>
      <c r="I37" s="20">
        <v>10.3</v>
      </c>
      <c r="J37" s="23">
        <v>122.86799999999999</v>
      </c>
      <c r="K37" s="20">
        <v>88.1</v>
      </c>
      <c r="L37" s="20">
        <v>10.7</v>
      </c>
      <c r="M37" s="20">
        <v>8.1999999999999993</v>
      </c>
      <c r="N37" s="20">
        <v>6.8</v>
      </c>
      <c r="O37" s="20">
        <v>34</v>
      </c>
      <c r="P37" s="20">
        <v>25.978999999999999</v>
      </c>
      <c r="Q37" s="20">
        <v>4.0209999999999999</v>
      </c>
      <c r="R37" s="21">
        <v>30</v>
      </c>
      <c r="S37" s="20">
        <v>8.1</v>
      </c>
      <c r="T37" s="20">
        <v>9.4</v>
      </c>
      <c r="U37" s="20">
        <v>8.8000000000000007</v>
      </c>
      <c r="V37" s="20">
        <v>2</v>
      </c>
      <c r="W37" s="20">
        <v>3.7440000000000002</v>
      </c>
      <c r="X37" s="20">
        <v>4.556</v>
      </c>
      <c r="Y37" s="21">
        <v>8.3000000000000007</v>
      </c>
      <c r="Z37" s="20">
        <v>32.799999999999997</v>
      </c>
      <c r="AA37" s="20">
        <v>9.1</v>
      </c>
      <c r="AB37" s="20">
        <v>9.6</v>
      </c>
      <c r="AC37" s="20">
        <v>4.4000000000000004</v>
      </c>
      <c r="AD37" s="20">
        <v>5.2</v>
      </c>
      <c r="AE37" s="20">
        <v>2.9</v>
      </c>
      <c r="AF37" s="20">
        <v>5.4</v>
      </c>
      <c r="AG37" s="20">
        <v>0</v>
      </c>
      <c r="AH37" s="20">
        <v>0</v>
      </c>
      <c r="AI37" s="20">
        <v>7.3</v>
      </c>
      <c r="AJ37" s="20">
        <v>1</v>
      </c>
      <c r="AK37" s="20">
        <v>0.5</v>
      </c>
      <c r="AL37" s="20">
        <v>1.4</v>
      </c>
      <c r="AM37" s="20">
        <v>0.5</v>
      </c>
      <c r="AN37" s="20">
        <v>0.496</v>
      </c>
      <c r="AO37" s="20">
        <v>0.27500000000000002</v>
      </c>
      <c r="AP37" s="20">
        <v>1.3109999999999999</v>
      </c>
      <c r="AQ37" s="20">
        <v>12.318</v>
      </c>
      <c r="AR37" s="22">
        <f t="shared" si="1"/>
        <v>431.76799999999992</v>
      </c>
    </row>
    <row r="38" spans="1:44" s="14" customFormat="1" hidden="1" outlineLevel="1" x14ac:dyDescent="0.3">
      <c r="A38" s="44">
        <v>42491</v>
      </c>
      <c r="B38" s="28">
        <f t="shared" si="5"/>
        <v>45.893999999999998</v>
      </c>
      <c r="C38" s="20">
        <v>24.524999999999999</v>
      </c>
      <c r="D38" s="20">
        <v>21.369</v>
      </c>
      <c r="E38" s="20">
        <v>18.5</v>
      </c>
      <c r="F38" s="20">
        <v>4.9000000000000004</v>
      </c>
      <c r="G38" s="20">
        <v>13.4</v>
      </c>
      <c r="H38" s="20">
        <v>39</v>
      </c>
      <c r="I38" s="20">
        <v>9.6999999999999993</v>
      </c>
      <c r="J38" s="23">
        <v>131.39400000000001</v>
      </c>
      <c r="K38" s="20">
        <v>95.5</v>
      </c>
      <c r="L38" s="20">
        <v>14.9</v>
      </c>
      <c r="M38" s="20">
        <v>9</v>
      </c>
      <c r="N38" s="20">
        <v>7.1</v>
      </c>
      <c r="O38" s="20">
        <v>48.2</v>
      </c>
      <c r="P38" s="20">
        <v>26.832000000000001</v>
      </c>
      <c r="Q38" s="20">
        <v>3.827</v>
      </c>
      <c r="R38" s="21">
        <v>30.658999999999999</v>
      </c>
      <c r="S38" s="20">
        <v>8.9</v>
      </c>
      <c r="T38" s="20">
        <v>10.199999999999999</v>
      </c>
      <c r="U38" s="20">
        <v>8.8000000000000007</v>
      </c>
      <c r="V38" s="20">
        <v>2.4</v>
      </c>
      <c r="W38" s="20">
        <v>4.3920000000000003</v>
      </c>
      <c r="X38" s="20">
        <v>4.6360000000000001</v>
      </c>
      <c r="Y38" s="21">
        <v>9.0280000000000005</v>
      </c>
      <c r="Z38" s="20">
        <v>30.8</v>
      </c>
      <c r="AA38" s="20">
        <v>9.3000000000000007</v>
      </c>
      <c r="AB38" s="20">
        <v>13.1</v>
      </c>
      <c r="AC38" s="20">
        <v>4.3</v>
      </c>
      <c r="AD38" s="20">
        <v>4.4000000000000004</v>
      </c>
      <c r="AE38" s="20">
        <v>2.7</v>
      </c>
      <c r="AF38" s="20">
        <v>5.3</v>
      </c>
      <c r="AG38" s="20">
        <v>0</v>
      </c>
      <c r="AH38" s="20">
        <v>0</v>
      </c>
      <c r="AI38" s="20">
        <v>9</v>
      </c>
      <c r="AJ38" s="20">
        <v>1.1000000000000001</v>
      </c>
      <c r="AK38" s="20">
        <v>0.5</v>
      </c>
      <c r="AL38" s="20">
        <v>1.4</v>
      </c>
      <c r="AM38" s="20">
        <v>0.6</v>
      </c>
      <c r="AN38" s="20">
        <v>0.41</v>
      </c>
      <c r="AO38" s="20">
        <v>0.13100000000000001</v>
      </c>
      <c r="AP38" s="20">
        <v>1.427</v>
      </c>
      <c r="AQ38" s="20">
        <v>11.632000000000001</v>
      </c>
      <c r="AR38" s="22">
        <f t="shared" si="1"/>
        <v>472.18100000000004</v>
      </c>
    </row>
    <row r="39" spans="1:44" s="14" customFormat="1" hidden="1" outlineLevel="1" x14ac:dyDescent="0.3">
      <c r="A39" s="44">
        <v>42522</v>
      </c>
      <c r="B39" s="28">
        <f t="shared" si="5"/>
        <v>58.531999999999996</v>
      </c>
      <c r="C39" s="20">
        <v>33.92</v>
      </c>
      <c r="D39" s="20">
        <v>24.611999999999998</v>
      </c>
      <c r="E39" s="20">
        <v>23.5</v>
      </c>
      <c r="F39" s="20">
        <v>4.0999999999999996</v>
      </c>
      <c r="G39" s="20">
        <v>15.7</v>
      </c>
      <c r="H39" s="20">
        <v>40.6</v>
      </c>
      <c r="I39" s="20">
        <v>9.3000000000000007</v>
      </c>
      <c r="J39" s="23">
        <v>151.732</v>
      </c>
      <c r="K39" s="20">
        <v>90.6</v>
      </c>
      <c r="L39" s="20">
        <v>15.4</v>
      </c>
      <c r="M39" s="20">
        <v>7.6</v>
      </c>
      <c r="N39" s="20">
        <v>7</v>
      </c>
      <c r="O39" s="20">
        <v>45.5</v>
      </c>
      <c r="P39" s="20">
        <v>22.875</v>
      </c>
      <c r="Q39" s="20">
        <v>4.4720000000000004</v>
      </c>
      <c r="R39" s="21">
        <v>27.347000000000001</v>
      </c>
      <c r="S39" s="20">
        <v>8.3000000000000007</v>
      </c>
      <c r="T39" s="20">
        <v>9.3000000000000007</v>
      </c>
      <c r="U39" s="20">
        <v>7</v>
      </c>
      <c r="V39" s="20">
        <v>2.4</v>
      </c>
      <c r="W39" s="20">
        <v>4.2759999999999998</v>
      </c>
      <c r="X39" s="20">
        <v>3.94</v>
      </c>
      <c r="Y39" s="21">
        <v>8.2159999999999993</v>
      </c>
      <c r="Z39" s="20">
        <v>29.4</v>
      </c>
      <c r="AA39" s="20">
        <v>8.8000000000000007</v>
      </c>
      <c r="AB39" s="20">
        <v>13.3</v>
      </c>
      <c r="AC39" s="20">
        <v>3.6</v>
      </c>
      <c r="AD39" s="20">
        <v>4.8</v>
      </c>
      <c r="AE39" s="20">
        <v>2.8</v>
      </c>
      <c r="AF39" s="20">
        <v>6.1</v>
      </c>
      <c r="AG39" s="20">
        <v>0</v>
      </c>
      <c r="AH39" s="20">
        <v>0</v>
      </c>
      <c r="AI39" s="20">
        <v>6.8</v>
      </c>
      <c r="AJ39" s="20">
        <v>0.6</v>
      </c>
      <c r="AK39" s="20">
        <v>0.5</v>
      </c>
      <c r="AL39" s="20">
        <v>1.4</v>
      </c>
      <c r="AM39" s="20">
        <v>0.6</v>
      </c>
      <c r="AN39" s="20">
        <v>0.375</v>
      </c>
      <c r="AO39" s="20">
        <v>6.2E-2</v>
      </c>
      <c r="AP39" s="20">
        <v>1.367</v>
      </c>
      <c r="AQ39" s="20">
        <v>8.2959999999999994</v>
      </c>
      <c r="AR39" s="22">
        <f t="shared" si="1"/>
        <v>469.19500000000011</v>
      </c>
    </row>
    <row r="40" spans="1:44" s="14" customFormat="1" hidden="1" outlineLevel="1" x14ac:dyDescent="0.3">
      <c r="A40" s="44">
        <v>42552</v>
      </c>
      <c r="B40" s="28">
        <f t="shared" si="5"/>
        <v>55.617000000000004</v>
      </c>
      <c r="C40" s="20">
        <v>29.891999999999999</v>
      </c>
      <c r="D40" s="20">
        <v>25.725000000000001</v>
      </c>
      <c r="E40" s="20">
        <v>18.2</v>
      </c>
      <c r="F40" s="20">
        <v>4.9000000000000004</v>
      </c>
      <c r="G40" s="20">
        <v>17.2</v>
      </c>
      <c r="H40" s="20">
        <v>36.200000000000003</v>
      </c>
      <c r="I40" s="20">
        <v>10.5</v>
      </c>
      <c r="J40" s="23">
        <v>142.61700000000002</v>
      </c>
      <c r="K40" s="20">
        <v>70.099999999999994</v>
      </c>
      <c r="L40" s="20">
        <v>13.7</v>
      </c>
      <c r="M40" s="20">
        <v>6</v>
      </c>
      <c r="N40" s="20">
        <v>6.1</v>
      </c>
      <c r="O40" s="20">
        <v>46.3</v>
      </c>
      <c r="P40" s="20">
        <v>26.305</v>
      </c>
      <c r="Q40" s="20">
        <v>1.819</v>
      </c>
      <c r="R40" s="21">
        <v>28.123999999999999</v>
      </c>
      <c r="S40" s="20">
        <v>8.3000000000000007</v>
      </c>
      <c r="T40" s="20">
        <v>9.3000000000000007</v>
      </c>
      <c r="U40" s="20">
        <v>8</v>
      </c>
      <c r="V40" s="20">
        <v>2.2999999999999998</v>
      </c>
      <c r="W40" s="20">
        <v>4.1520000000000001</v>
      </c>
      <c r="X40" s="20">
        <v>3.702</v>
      </c>
      <c r="Y40" s="21">
        <v>7.8540000000000001</v>
      </c>
      <c r="Z40" s="20">
        <v>28.6</v>
      </c>
      <c r="AA40" s="20">
        <v>8.8000000000000007</v>
      </c>
      <c r="AB40" s="20">
        <v>15.7</v>
      </c>
      <c r="AC40" s="20">
        <v>4.0999999999999996</v>
      </c>
      <c r="AD40" s="20">
        <v>5.4</v>
      </c>
      <c r="AE40" s="20">
        <v>2.9</v>
      </c>
      <c r="AF40" s="20">
        <v>6.9</v>
      </c>
      <c r="AG40" s="20">
        <v>0</v>
      </c>
      <c r="AH40" s="20">
        <v>0</v>
      </c>
      <c r="AI40" s="20">
        <v>7</v>
      </c>
      <c r="AJ40" s="20">
        <v>1.1000000000000001</v>
      </c>
      <c r="AK40" s="20">
        <v>0.4</v>
      </c>
      <c r="AL40" s="20">
        <v>1.5</v>
      </c>
      <c r="AM40" s="20">
        <v>0.5</v>
      </c>
      <c r="AN40" s="20">
        <v>0.45400000000000001</v>
      </c>
      <c r="AO40" s="20">
        <v>3.5999999999999997E-2</v>
      </c>
      <c r="AP40" s="20">
        <v>1.3360000000000001</v>
      </c>
      <c r="AQ40" s="20">
        <v>12.074</v>
      </c>
      <c r="AR40" s="22">
        <f t="shared" si="1"/>
        <v>445.49500000000006</v>
      </c>
    </row>
    <row r="41" spans="1:44" s="14" customFormat="1" hidden="1" outlineLevel="1" x14ac:dyDescent="0.3">
      <c r="A41" s="44">
        <v>42583</v>
      </c>
      <c r="B41" s="28">
        <f t="shared" si="5"/>
        <v>53.475999999999999</v>
      </c>
      <c r="C41" s="20">
        <v>25.779</v>
      </c>
      <c r="D41" s="20">
        <v>27.696999999999999</v>
      </c>
      <c r="E41" s="20">
        <v>17</v>
      </c>
      <c r="F41" s="20">
        <v>4.5999999999999996</v>
      </c>
      <c r="G41" s="20">
        <v>12.3</v>
      </c>
      <c r="H41" s="20">
        <v>40.9</v>
      </c>
      <c r="I41" s="20">
        <v>11</v>
      </c>
      <c r="J41" s="23">
        <v>139.27600000000001</v>
      </c>
      <c r="K41" s="20">
        <v>75.5</v>
      </c>
      <c r="L41" s="20">
        <v>16.2</v>
      </c>
      <c r="M41" s="20">
        <v>5.8</v>
      </c>
      <c r="N41" s="20">
        <v>6.8</v>
      </c>
      <c r="O41" s="20">
        <v>42.9</v>
      </c>
      <c r="P41" s="20">
        <v>24.282</v>
      </c>
      <c r="Q41" s="20">
        <v>4.3600000000000003</v>
      </c>
      <c r="R41" s="21">
        <v>28.641999999999999</v>
      </c>
      <c r="S41" s="20">
        <v>7.7</v>
      </c>
      <c r="T41" s="20">
        <v>10.6</v>
      </c>
      <c r="U41" s="20">
        <v>10.1</v>
      </c>
      <c r="V41" s="20">
        <v>2</v>
      </c>
      <c r="W41" s="20">
        <v>4.234</v>
      </c>
      <c r="X41" s="20">
        <v>4.0039999999999996</v>
      </c>
      <c r="Y41" s="21">
        <v>8.2379999999999995</v>
      </c>
      <c r="Z41" s="20">
        <v>30.6</v>
      </c>
      <c r="AA41" s="20">
        <v>7.7</v>
      </c>
      <c r="AB41" s="20">
        <v>16</v>
      </c>
      <c r="AC41" s="20">
        <v>4.5999999999999996</v>
      </c>
      <c r="AD41" s="20">
        <v>7</v>
      </c>
      <c r="AE41" s="20">
        <v>2.8</v>
      </c>
      <c r="AF41" s="20">
        <v>6.7</v>
      </c>
      <c r="AG41" s="20">
        <v>0</v>
      </c>
      <c r="AH41" s="20">
        <v>0</v>
      </c>
      <c r="AI41" s="20">
        <v>6.8</v>
      </c>
      <c r="AJ41" s="20">
        <v>1.2</v>
      </c>
      <c r="AK41" s="20">
        <v>0.4</v>
      </c>
      <c r="AL41" s="20">
        <v>1.4</v>
      </c>
      <c r="AM41" s="20">
        <v>0.7</v>
      </c>
      <c r="AN41" s="20">
        <v>0.35</v>
      </c>
      <c r="AO41" s="20">
        <v>7.8E-2</v>
      </c>
      <c r="AP41" s="20">
        <v>1.466</v>
      </c>
      <c r="AQ41" s="20">
        <v>11.905999999999999</v>
      </c>
      <c r="AR41" s="22">
        <f t="shared" si="1"/>
        <v>453.45600000000002</v>
      </c>
    </row>
    <row r="42" spans="1:44" s="14" customFormat="1" hidden="1" outlineLevel="1" x14ac:dyDescent="0.3">
      <c r="A42" s="44">
        <v>42614</v>
      </c>
      <c r="B42" s="28">
        <f t="shared" si="5"/>
        <v>49.260999999999996</v>
      </c>
      <c r="C42" s="20">
        <v>23.872</v>
      </c>
      <c r="D42" s="20">
        <v>25.388999999999999</v>
      </c>
      <c r="E42" s="20">
        <v>24.2</v>
      </c>
      <c r="F42" s="20">
        <v>4.5</v>
      </c>
      <c r="G42" s="20">
        <v>18.3</v>
      </c>
      <c r="H42" s="20">
        <v>42.3</v>
      </c>
      <c r="I42" s="20">
        <v>11.2</v>
      </c>
      <c r="J42" s="23">
        <v>149.761</v>
      </c>
      <c r="K42" s="20">
        <v>77</v>
      </c>
      <c r="L42" s="20">
        <v>15</v>
      </c>
      <c r="M42" s="20">
        <v>5.3</v>
      </c>
      <c r="N42" s="20">
        <v>6.8</v>
      </c>
      <c r="O42" s="20">
        <v>40.5</v>
      </c>
      <c r="P42" s="20">
        <v>21.483000000000001</v>
      </c>
      <c r="Q42" s="20">
        <v>4.5170000000000003</v>
      </c>
      <c r="R42" s="21">
        <v>26</v>
      </c>
      <c r="S42" s="20">
        <v>7.8</v>
      </c>
      <c r="T42" s="20">
        <v>11.2</v>
      </c>
      <c r="U42" s="20">
        <v>9.5</v>
      </c>
      <c r="V42" s="20">
        <v>2.2000000000000002</v>
      </c>
      <c r="W42" s="20">
        <v>3.9489999999999998</v>
      </c>
      <c r="X42" s="20">
        <v>3.8050000000000002</v>
      </c>
      <c r="Y42" s="21">
        <v>7.7539999999999996</v>
      </c>
      <c r="Z42" s="20">
        <v>31.1</v>
      </c>
      <c r="AA42" s="20">
        <v>7.5</v>
      </c>
      <c r="AB42" s="20">
        <v>16</v>
      </c>
      <c r="AC42" s="20">
        <v>5.6</v>
      </c>
      <c r="AD42" s="20">
        <v>7.1</v>
      </c>
      <c r="AE42" s="20">
        <v>3</v>
      </c>
      <c r="AF42" s="20">
        <v>5.8</v>
      </c>
      <c r="AG42" s="20">
        <v>0</v>
      </c>
      <c r="AH42" s="20">
        <v>0</v>
      </c>
      <c r="AI42" s="20">
        <v>7.5</v>
      </c>
      <c r="AJ42" s="20">
        <v>1.2</v>
      </c>
      <c r="AK42" s="20">
        <v>0.4</v>
      </c>
      <c r="AL42" s="20">
        <v>1.4</v>
      </c>
      <c r="AM42" s="20">
        <v>0.6</v>
      </c>
      <c r="AN42" s="20">
        <v>0.44900000000000001</v>
      </c>
      <c r="AO42" s="20">
        <v>6.7000000000000004E-2</v>
      </c>
      <c r="AP42" s="20">
        <v>1.3859999999999999</v>
      </c>
      <c r="AQ42" s="20">
        <v>12.298</v>
      </c>
      <c r="AR42" s="22">
        <f t="shared" si="1"/>
        <v>460.21500000000009</v>
      </c>
    </row>
    <row r="43" spans="1:44" s="14" customFormat="1" hidden="1" outlineLevel="1" x14ac:dyDescent="0.3">
      <c r="A43" s="44">
        <v>42644</v>
      </c>
      <c r="B43" s="28">
        <f t="shared" si="5"/>
        <v>52.683</v>
      </c>
      <c r="C43" s="20">
        <v>25.471</v>
      </c>
      <c r="D43" s="20">
        <v>27.212</v>
      </c>
      <c r="E43" s="20">
        <v>17.899999999999999</v>
      </c>
      <c r="F43" s="20">
        <v>5.8</v>
      </c>
      <c r="G43" s="20">
        <v>17.600000000000001</v>
      </c>
      <c r="H43" s="20">
        <v>41.4</v>
      </c>
      <c r="I43" s="20">
        <v>10.199999999999999</v>
      </c>
      <c r="J43" s="23">
        <v>145.583</v>
      </c>
      <c r="K43" s="20">
        <v>58.2</v>
      </c>
      <c r="L43" s="20">
        <v>9</v>
      </c>
      <c r="M43" s="20">
        <v>4.0999999999999996</v>
      </c>
      <c r="N43" s="20">
        <v>7.1</v>
      </c>
      <c r="O43" s="20">
        <v>49.2</v>
      </c>
      <c r="P43" s="20">
        <v>26.398</v>
      </c>
      <c r="Q43" s="20">
        <v>4.0030000000000001</v>
      </c>
      <c r="R43" s="21">
        <v>30.401</v>
      </c>
      <c r="S43" s="20">
        <v>7.6</v>
      </c>
      <c r="T43" s="20">
        <v>10.3</v>
      </c>
      <c r="U43" s="20">
        <v>11.2</v>
      </c>
      <c r="V43" s="20">
        <v>2.1</v>
      </c>
      <c r="W43" s="20">
        <v>4.3760000000000003</v>
      </c>
      <c r="X43" s="20">
        <v>4.1399999999999997</v>
      </c>
      <c r="Y43" s="21">
        <v>8.516</v>
      </c>
      <c r="Z43" s="20">
        <v>33.799999999999997</v>
      </c>
      <c r="AA43" s="20">
        <v>8.8000000000000007</v>
      </c>
      <c r="AB43" s="20">
        <v>14</v>
      </c>
      <c r="AC43" s="20">
        <v>5.2</v>
      </c>
      <c r="AD43" s="20">
        <v>6.7</v>
      </c>
      <c r="AE43" s="20">
        <v>3.1</v>
      </c>
      <c r="AF43" s="20">
        <v>4.8</v>
      </c>
      <c r="AG43" s="20">
        <v>0</v>
      </c>
      <c r="AH43" s="20">
        <v>0</v>
      </c>
      <c r="AI43" s="20">
        <v>8.6</v>
      </c>
      <c r="AJ43" s="20">
        <v>1.2</v>
      </c>
      <c r="AK43" s="20">
        <v>0.4</v>
      </c>
      <c r="AL43" s="20">
        <v>1.2</v>
      </c>
      <c r="AM43" s="20">
        <v>0.5</v>
      </c>
      <c r="AN43" s="20">
        <v>0.52600000000000002</v>
      </c>
      <c r="AO43" s="20">
        <v>4.2999999999999997E-2</v>
      </c>
      <c r="AP43" s="20">
        <v>1.3029999999999999</v>
      </c>
      <c r="AQ43" s="20">
        <v>10.027999999999999</v>
      </c>
      <c r="AR43" s="22">
        <f t="shared" si="1"/>
        <v>443.50000000000006</v>
      </c>
    </row>
    <row r="44" spans="1:44" s="14" customFormat="1" hidden="1" outlineLevel="1" x14ac:dyDescent="0.3">
      <c r="A44" s="44">
        <v>42675</v>
      </c>
      <c r="B44" s="28">
        <f t="shared" si="5"/>
        <v>50.622</v>
      </c>
      <c r="C44" s="20">
        <v>22.78</v>
      </c>
      <c r="D44" s="20">
        <v>27.841999999999999</v>
      </c>
      <c r="E44" s="20">
        <v>17.8</v>
      </c>
      <c r="F44" s="20">
        <v>6.1</v>
      </c>
      <c r="G44" s="20">
        <v>18</v>
      </c>
      <c r="H44" s="20">
        <v>43.7</v>
      </c>
      <c r="I44" s="20">
        <v>9.5</v>
      </c>
      <c r="J44" s="23">
        <v>145.72199999999998</v>
      </c>
      <c r="K44" s="20">
        <v>86.1</v>
      </c>
      <c r="L44" s="20">
        <v>13.7</v>
      </c>
      <c r="M44" s="20">
        <v>4.0999999999999996</v>
      </c>
      <c r="N44" s="20">
        <v>7.1</v>
      </c>
      <c r="O44" s="20">
        <v>43.5</v>
      </c>
      <c r="P44" s="20">
        <v>23.744</v>
      </c>
      <c r="Q44" s="20">
        <v>4.5999999999999996</v>
      </c>
      <c r="R44" s="21">
        <v>28.344000000000001</v>
      </c>
      <c r="S44" s="20">
        <v>7.3</v>
      </c>
      <c r="T44" s="20">
        <v>13.1</v>
      </c>
      <c r="U44" s="20">
        <v>12.6</v>
      </c>
      <c r="V44" s="20">
        <v>2</v>
      </c>
      <c r="W44" s="20">
        <v>3.8370000000000002</v>
      </c>
      <c r="X44" s="20">
        <v>3.5510000000000002</v>
      </c>
      <c r="Y44" s="21">
        <v>7.3879999999999999</v>
      </c>
      <c r="Z44" s="20">
        <v>30.2</v>
      </c>
      <c r="AA44" s="20">
        <v>8.8000000000000007</v>
      </c>
      <c r="AB44" s="20">
        <v>21.5</v>
      </c>
      <c r="AC44" s="20">
        <v>5.6</v>
      </c>
      <c r="AD44" s="20">
        <v>6.7</v>
      </c>
      <c r="AE44" s="20">
        <v>2.9</v>
      </c>
      <c r="AF44" s="20">
        <v>6.7</v>
      </c>
      <c r="AG44" s="20">
        <v>0</v>
      </c>
      <c r="AH44" s="20">
        <v>0</v>
      </c>
      <c r="AI44" s="20">
        <v>9.1</v>
      </c>
      <c r="AJ44" s="20">
        <v>1.2</v>
      </c>
      <c r="AK44" s="20">
        <v>0.5</v>
      </c>
      <c r="AL44" s="20">
        <v>1.5</v>
      </c>
      <c r="AM44" s="20">
        <v>0.5</v>
      </c>
      <c r="AN44" s="20">
        <v>0.315</v>
      </c>
      <c r="AO44" s="20">
        <v>3.1E-2</v>
      </c>
      <c r="AP44" s="20">
        <v>1.391</v>
      </c>
      <c r="AQ44" s="20">
        <v>11.363</v>
      </c>
      <c r="AR44" s="22">
        <f t="shared" si="1"/>
        <v>479.25400000000008</v>
      </c>
    </row>
    <row r="45" spans="1:44" s="14" customFormat="1" hidden="1" outlineLevel="1" x14ac:dyDescent="0.3">
      <c r="A45" s="44">
        <v>42705</v>
      </c>
      <c r="B45" s="28">
        <f t="shared" si="5"/>
        <v>53.674999999999997</v>
      </c>
      <c r="C45" s="20">
        <v>25.077999999999999</v>
      </c>
      <c r="D45" s="20">
        <v>28.597000000000001</v>
      </c>
      <c r="E45" s="20">
        <v>17.7</v>
      </c>
      <c r="F45" s="20">
        <v>5.2</v>
      </c>
      <c r="G45" s="20">
        <v>17.2</v>
      </c>
      <c r="H45" s="20">
        <v>37.5</v>
      </c>
      <c r="I45" s="20">
        <v>10.4</v>
      </c>
      <c r="J45" s="23">
        <v>141.67500000000001</v>
      </c>
      <c r="K45" s="20">
        <v>95.3</v>
      </c>
      <c r="L45" s="20">
        <v>19</v>
      </c>
      <c r="M45" s="20">
        <v>3.9</v>
      </c>
      <c r="N45" s="20">
        <v>6.9</v>
      </c>
      <c r="O45" s="20">
        <v>40.299999999999997</v>
      </c>
      <c r="P45" s="20">
        <v>24.129000000000001</v>
      </c>
      <c r="Q45" s="20">
        <v>5.1470000000000002</v>
      </c>
      <c r="R45" s="21">
        <v>29.276000000000003</v>
      </c>
      <c r="S45" s="20">
        <v>7.5</v>
      </c>
      <c r="T45" s="20">
        <v>17.899999999999999</v>
      </c>
      <c r="U45" s="20">
        <v>14.4</v>
      </c>
      <c r="V45" s="20">
        <v>2</v>
      </c>
      <c r="W45" s="20">
        <v>4.1769999999999996</v>
      </c>
      <c r="X45" s="20">
        <v>3.6989999999999998</v>
      </c>
      <c r="Y45" s="21">
        <v>7.8759999999999994</v>
      </c>
      <c r="Z45" s="20">
        <v>35.4</v>
      </c>
      <c r="AA45" s="20">
        <v>9.8000000000000007</v>
      </c>
      <c r="AB45" s="20">
        <v>24</v>
      </c>
      <c r="AC45" s="20">
        <v>5.8</v>
      </c>
      <c r="AD45" s="20">
        <v>6.3</v>
      </c>
      <c r="AE45" s="20">
        <v>2.8</v>
      </c>
      <c r="AF45" s="20">
        <v>7.6</v>
      </c>
      <c r="AG45" s="20">
        <v>0</v>
      </c>
      <c r="AH45" s="20">
        <v>0</v>
      </c>
      <c r="AI45" s="20">
        <v>8.5</v>
      </c>
      <c r="AJ45" s="20">
        <v>1.2</v>
      </c>
      <c r="AK45" s="20">
        <v>0.5</v>
      </c>
      <c r="AL45" s="20">
        <v>1.8</v>
      </c>
      <c r="AM45" s="20">
        <v>0.7</v>
      </c>
      <c r="AN45" s="20">
        <v>0.41699999999999998</v>
      </c>
      <c r="AO45" s="20">
        <v>8.4000000000000005E-2</v>
      </c>
      <c r="AP45" s="20">
        <v>1.4079999999999999</v>
      </c>
      <c r="AQ45" s="20">
        <v>10.491</v>
      </c>
      <c r="AR45" s="22">
        <f t="shared" si="1"/>
        <v>502.827</v>
      </c>
    </row>
    <row r="46" spans="1:44" s="14" customFormat="1" collapsed="1" x14ac:dyDescent="0.3">
      <c r="A46" s="45" t="s">
        <v>35</v>
      </c>
      <c r="B46" s="24">
        <f>SUM(B34:B45)</f>
        <v>620.26499999999987</v>
      </c>
      <c r="C46" s="24">
        <f>SUM(C34:C45)</f>
        <v>302.00900000000001</v>
      </c>
      <c r="D46" s="24">
        <f t="shared" ref="D46:AR46" si="6">SUM(D34:D45)</f>
        <v>318.25599999999997</v>
      </c>
      <c r="E46" s="24">
        <f t="shared" si="6"/>
        <v>237</v>
      </c>
      <c r="F46" s="24">
        <f t="shared" si="6"/>
        <v>59.800000000000004</v>
      </c>
      <c r="G46" s="24">
        <f t="shared" si="6"/>
        <v>193.4</v>
      </c>
      <c r="H46" s="24">
        <f t="shared" si="6"/>
        <v>475.29999999999995</v>
      </c>
      <c r="I46" s="24">
        <f t="shared" si="6"/>
        <v>121.70000000000002</v>
      </c>
      <c r="J46" s="25">
        <f t="shared" si="6"/>
        <v>1707.4649999999999</v>
      </c>
      <c r="K46" s="24">
        <f t="shared" si="6"/>
        <v>1002.0000000000001</v>
      </c>
      <c r="L46" s="24">
        <f>SUM(L34:L45)</f>
        <v>167.4</v>
      </c>
      <c r="M46" s="24">
        <f>SUM(M34:M45)</f>
        <v>74</v>
      </c>
      <c r="N46" s="24">
        <f>SUM(N34:N45)</f>
        <v>80.099999999999994</v>
      </c>
      <c r="O46" s="24">
        <f t="shared" si="6"/>
        <v>506.5</v>
      </c>
      <c r="P46" s="24">
        <f t="shared" si="6"/>
        <v>307.16700000000003</v>
      </c>
      <c r="Q46" s="24">
        <f t="shared" si="6"/>
        <v>47.011000000000003</v>
      </c>
      <c r="R46" s="26">
        <f t="shared" si="6"/>
        <v>354.178</v>
      </c>
      <c r="S46" s="24">
        <f t="shared" si="6"/>
        <v>99.899999999999991</v>
      </c>
      <c r="T46" s="24">
        <f t="shared" si="6"/>
        <v>135.39999999999998</v>
      </c>
      <c r="U46" s="24">
        <f>SUM(U34:U45)</f>
        <v>117.3</v>
      </c>
      <c r="V46" s="24">
        <f>SUM(V34:V45)</f>
        <v>25.400000000000002</v>
      </c>
      <c r="W46" s="24">
        <f t="shared" si="6"/>
        <v>49.379999999999995</v>
      </c>
      <c r="X46" s="24">
        <f t="shared" si="6"/>
        <v>49.738999999999997</v>
      </c>
      <c r="Y46" s="26">
        <f t="shared" si="6"/>
        <v>99.119000000000014</v>
      </c>
      <c r="Z46" s="24">
        <f>SUM(Z34:Z45)</f>
        <v>367.79999999999995</v>
      </c>
      <c r="AA46" s="24">
        <f t="shared" si="6"/>
        <v>103.39999999999999</v>
      </c>
      <c r="AB46" s="24">
        <f>SUM(AB34:AB45)</f>
        <v>180.4</v>
      </c>
      <c r="AC46" s="24">
        <f t="shared" si="6"/>
        <v>55.800000000000004</v>
      </c>
      <c r="AD46" s="24">
        <f>SUM(AD34:AD45)</f>
        <v>66.200000000000017</v>
      </c>
      <c r="AE46" s="24">
        <f t="shared" si="6"/>
        <v>34.700000000000003</v>
      </c>
      <c r="AF46" s="24">
        <f>SUM(AF34:AF45)</f>
        <v>73.199999999999989</v>
      </c>
      <c r="AG46" s="24">
        <f t="shared" si="6"/>
        <v>0</v>
      </c>
      <c r="AH46" s="24">
        <f>SUM(AH34:AH45)</f>
        <v>0.2</v>
      </c>
      <c r="AI46" s="24">
        <f t="shared" si="6"/>
        <v>98.09999999999998</v>
      </c>
      <c r="AJ46" s="24">
        <f t="shared" si="6"/>
        <v>13.099999999999996</v>
      </c>
      <c r="AK46" s="24">
        <f t="shared" si="6"/>
        <v>5.3999999999999995</v>
      </c>
      <c r="AL46" s="24">
        <f t="shared" si="6"/>
        <v>17.8</v>
      </c>
      <c r="AM46" s="24">
        <f t="shared" si="6"/>
        <v>7.2</v>
      </c>
      <c r="AN46" s="24">
        <f t="shared" si="6"/>
        <v>5.2290000000000001</v>
      </c>
      <c r="AO46" s="24">
        <f t="shared" si="6"/>
        <v>1.9470000000000001</v>
      </c>
      <c r="AP46" s="24">
        <f t="shared" si="6"/>
        <v>16.251999999999999</v>
      </c>
      <c r="AQ46" s="24">
        <v>137.07200000000003</v>
      </c>
      <c r="AR46" s="27">
        <f t="shared" si="6"/>
        <v>5552.5619999999999</v>
      </c>
    </row>
    <row r="47" spans="1:44" s="14" customFormat="1" hidden="1" outlineLevel="1" x14ac:dyDescent="0.3">
      <c r="A47" s="44">
        <v>42736</v>
      </c>
      <c r="B47" s="28">
        <f t="shared" ref="B47:B58" si="7">C47+D47</f>
        <v>40.932000000000002</v>
      </c>
      <c r="C47" s="20">
        <v>15.228</v>
      </c>
      <c r="D47" s="20">
        <v>25.704000000000001</v>
      </c>
      <c r="E47" s="20">
        <v>23.8</v>
      </c>
      <c r="F47" s="20">
        <v>4.3</v>
      </c>
      <c r="G47" s="20">
        <v>19.5</v>
      </c>
      <c r="H47" s="20">
        <v>36.6</v>
      </c>
      <c r="I47" s="20">
        <v>7.2</v>
      </c>
      <c r="J47" s="23">
        <v>132.33199999999999</v>
      </c>
      <c r="K47" s="20">
        <v>77.099999999999994</v>
      </c>
      <c r="L47" s="20">
        <v>18.2</v>
      </c>
      <c r="M47" s="20">
        <v>5.4</v>
      </c>
      <c r="N47" s="20">
        <v>7.2</v>
      </c>
      <c r="O47" s="20">
        <v>44.4</v>
      </c>
      <c r="P47" s="20">
        <v>20.858000000000001</v>
      </c>
      <c r="Q47" s="20">
        <v>3.6</v>
      </c>
      <c r="R47" s="21">
        <v>24.458000000000002</v>
      </c>
      <c r="S47" s="20">
        <v>6.9</v>
      </c>
      <c r="T47" s="20">
        <v>9.4</v>
      </c>
      <c r="U47" s="20">
        <v>13</v>
      </c>
      <c r="V47" s="20">
        <v>2.1</v>
      </c>
      <c r="W47" s="20">
        <v>3.569</v>
      </c>
      <c r="X47" s="20">
        <v>3.0649999999999999</v>
      </c>
      <c r="Y47" s="21">
        <v>6.6340000000000003</v>
      </c>
      <c r="Z47" s="20">
        <v>28.1</v>
      </c>
      <c r="AA47" s="20">
        <v>8.6999999999999993</v>
      </c>
      <c r="AB47" s="20">
        <v>16.399999999999999</v>
      </c>
      <c r="AC47" s="20">
        <v>5.3</v>
      </c>
      <c r="AD47" s="20">
        <v>6.7</v>
      </c>
      <c r="AE47" s="20">
        <v>2.4</v>
      </c>
      <c r="AF47" s="20">
        <v>8.4</v>
      </c>
      <c r="AG47" s="20">
        <v>0</v>
      </c>
      <c r="AH47" s="20">
        <v>0</v>
      </c>
      <c r="AI47" s="20">
        <v>7.8</v>
      </c>
      <c r="AJ47" s="20">
        <v>1</v>
      </c>
      <c r="AK47" s="20">
        <v>0.5</v>
      </c>
      <c r="AL47" s="20">
        <v>1.7</v>
      </c>
      <c r="AM47" s="20">
        <v>0.6</v>
      </c>
      <c r="AN47" s="20">
        <v>0.30083318798000003</v>
      </c>
      <c r="AO47" s="20">
        <v>8.3000000000000004E-2</v>
      </c>
      <c r="AP47" s="20">
        <v>1.2669999999999999</v>
      </c>
      <c r="AQ47" s="20">
        <v>11.749000000000001</v>
      </c>
      <c r="AR47" s="22">
        <f t="shared" si="1"/>
        <v>448.12383318797998</v>
      </c>
    </row>
    <row r="48" spans="1:44" s="14" customFormat="1" hidden="1" outlineLevel="1" x14ac:dyDescent="0.3">
      <c r="A48" s="44">
        <v>42767</v>
      </c>
      <c r="B48" s="28">
        <f t="shared" si="7"/>
        <v>39.772999999999996</v>
      </c>
      <c r="C48" s="20">
        <v>16.905999999999999</v>
      </c>
      <c r="D48" s="20">
        <v>22.867000000000001</v>
      </c>
      <c r="E48" s="20">
        <v>18.399999999999999</v>
      </c>
      <c r="F48" s="20">
        <v>4.4000000000000004</v>
      </c>
      <c r="G48" s="20">
        <v>18.3</v>
      </c>
      <c r="H48" s="20">
        <v>36.5</v>
      </c>
      <c r="I48" s="20">
        <v>8.8000000000000007</v>
      </c>
      <c r="J48" s="23">
        <v>126.17299999999999</v>
      </c>
      <c r="K48" s="20">
        <v>20</v>
      </c>
      <c r="L48" s="20">
        <v>14.6</v>
      </c>
      <c r="M48" s="20">
        <v>4.9000000000000004</v>
      </c>
      <c r="N48" s="20">
        <v>6.4</v>
      </c>
      <c r="O48" s="20">
        <v>45.3</v>
      </c>
      <c r="P48" s="20">
        <v>26.408999999999999</v>
      </c>
      <c r="Q48" s="20">
        <v>3.2090000000000001</v>
      </c>
      <c r="R48" s="21">
        <v>29.617999999999999</v>
      </c>
      <c r="S48" s="20">
        <v>6.2</v>
      </c>
      <c r="T48" s="20">
        <v>10.3</v>
      </c>
      <c r="U48" s="20">
        <v>9</v>
      </c>
      <c r="V48" s="20">
        <v>1.7</v>
      </c>
      <c r="W48" s="20">
        <v>3.2269999999999999</v>
      </c>
      <c r="X48" s="20">
        <v>2.8239999999999998</v>
      </c>
      <c r="Y48" s="21">
        <v>6.0510000000000002</v>
      </c>
      <c r="Z48" s="20">
        <v>26.3</v>
      </c>
      <c r="AA48" s="20">
        <v>8.6999999999999993</v>
      </c>
      <c r="AB48" s="20">
        <v>12.1</v>
      </c>
      <c r="AC48" s="20">
        <v>5</v>
      </c>
      <c r="AD48" s="20">
        <v>6.4</v>
      </c>
      <c r="AE48" s="20">
        <v>2.2999999999999998</v>
      </c>
      <c r="AF48" s="20">
        <v>5.6</v>
      </c>
      <c r="AG48" s="20">
        <v>0</v>
      </c>
      <c r="AH48" s="20">
        <v>0</v>
      </c>
      <c r="AI48" s="20">
        <v>10</v>
      </c>
      <c r="AJ48" s="20">
        <v>0.7</v>
      </c>
      <c r="AK48" s="20">
        <v>0.4</v>
      </c>
      <c r="AL48" s="20">
        <v>1.4</v>
      </c>
      <c r="AM48" s="20">
        <v>0.5</v>
      </c>
      <c r="AN48" s="20">
        <v>0.30169971839999998</v>
      </c>
      <c r="AO48" s="20">
        <v>8.4000000000000005E-2</v>
      </c>
      <c r="AP48" s="20">
        <v>1.2110000000000001</v>
      </c>
      <c r="AQ48" s="20">
        <v>9.6029999999999998</v>
      </c>
      <c r="AR48" s="22">
        <f t="shared" si="1"/>
        <v>370.84169971839998</v>
      </c>
    </row>
    <row r="49" spans="1:44" s="14" customFormat="1" hidden="1" outlineLevel="1" x14ac:dyDescent="0.3">
      <c r="A49" s="44">
        <v>42795</v>
      </c>
      <c r="B49" s="28">
        <f t="shared" si="7"/>
        <v>47.064999999999998</v>
      </c>
      <c r="C49" s="20">
        <v>20.946999999999999</v>
      </c>
      <c r="D49" s="20">
        <v>26.117999999999999</v>
      </c>
      <c r="E49" s="20">
        <v>19.8</v>
      </c>
      <c r="F49" s="20">
        <v>4.8</v>
      </c>
      <c r="G49" s="20">
        <v>19.899999999999999</v>
      </c>
      <c r="H49" s="20">
        <v>28.4</v>
      </c>
      <c r="I49" s="20">
        <v>11.3</v>
      </c>
      <c r="J49" s="23">
        <v>131.26499999999999</v>
      </c>
      <c r="K49" s="20">
        <v>0</v>
      </c>
      <c r="L49" s="20">
        <v>16.600000000000001</v>
      </c>
      <c r="M49" s="20">
        <v>6.4</v>
      </c>
      <c r="N49" s="20">
        <v>6.7</v>
      </c>
      <c r="O49" s="20">
        <v>41.3</v>
      </c>
      <c r="P49" s="20">
        <v>28.577000000000002</v>
      </c>
      <c r="Q49" s="20">
        <v>2.2519999999999998</v>
      </c>
      <c r="R49" s="21">
        <v>30.829000000000001</v>
      </c>
      <c r="S49" s="20">
        <v>6.3</v>
      </c>
      <c r="T49" s="20">
        <v>11.9</v>
      </c>
      <c r="U49" s="20">
        <v>12.9</v>
      </c>
      <c r="V49" s="20">
        <v>2.4</v>
      </c>
      <c r="W49" s="20">
        <v>4.0810000000000004</v>
      </c>
      <c r="X49" s="20">
        <v>3.2549999999999999</v>
      </c>
      <c r="Y49" s="21">
        <v>7.3360000000000003</v>
      </c>
      <c r="Z49" s="20">
        <v>31.5</v>
      </c>
      <c r="AA49" s="20">
        <v>9.3000000000000007</v>
      </c>
      <c r="AB49" s="20">
        <v>10.5</v>
      </c>
      <c r="AC49" s="20">
        <v>6.2</v>
      </c>
      <c r="AD49" s="20">
        <v>7.2</v>
      </c>
      <c r="AE49" s="20">
        <v>2.2000000000000002</v>
      </c>
      <c r="AF49" s="20">
        <v>6.4</v>
      </c>
      <c r="AG49" s="20">
        <v>0</v>
      </c>
      <c r="AH49" s="20">
        <v>0</v>
      </c>
      <c r="AI49" s="20">
        <v>8.9</v>
      </c>
      <c r="AJ49" s="20">
        <v>1.2</v>
      </c>
      <c r="AK49" s="20">
        <v>0.5</v>
      </c>
      <c r="AL49" s="20">
        <v>1.6</v>
      </c>
      <c r="AM49" s="20">
        <v>0.6</v>
      </c>
      <c r="AN49" s="20">
        <v>0.29822188499999996</v>
      </c>
      <c r="AO49" s="20">
        <v>7.9000000000000001E-2</v>
      </c>
      <c r="AP49" s="20">
        <v>1.2889999999999999</v>
      </c>
      <c r="AQ49" s="20">
        <v>11.433999999999999</v>
      </c>
      <c r="AR49" s="22">
        <f t="shared" si="1"/>
        <v>373.13022188499997</v>
      </c>
    </row>
    <row r="50" spans="1:44" s="14" customFormat="1" hidden="1" outlineLevel="1" x14ac:dyDescent="0.3">
      <c r="A50" s="44">
        <v>42826</v>
      </c>
      <c r="B50" s="28">
        <f t="shared" si="7"/>
        <v>49.831999999999994</v>
      </c>
      <c r="C50" s="20">
        <v>22.873999999999999</v>
      </c>
      <c r="D50" s="20">
        <v>26.957999999999998</v>
      </c>
      <c r="E50" s="20">
        <v>15.5</v>
      </c>
      <c r="F50" s="20">
        <v>5</v>
      </c>
      <c r="G50" s="20">
        <v>18.600000000000001</v>
      </c>
      <c r="H50" s="20">
        <v>35.5</v>
      </c>
      <c r="I50" s="20">
        <v>9.6999999999999993</v>
      </c>
      <c r="J50" s="23">
        <v>134.13200000000001</v>
      </c>
      <c r="K50" s="20">
        <v>64</v>
      </c>
      <c r="L50" s="20">
        <v>16.899999999999999</v>
      </c>
      <c r="M50" s="20">
        <v>6.4</v>
      </c>
      <c r="N50" s="20">
        <v>6.7</v>
      </c>
      <c r="O50" s="20">
        <v>31.1</v>
      </c>
      <c r="P50" s="20">
        <v>29.922000000000001</v>
      </c>
      <c r="Q50" s="20">
        <v>2.1859999999999999</v>
      </c>
      <c r="R50" s="21">
        <v>32.108000000000004</v>
      </c>
      <c r="S50" s="20">
        <v>5.6</v>
      </c>
      <c r="T50" s="20">
        <v>15.5</v>
      </c>
      <c r="U50" s="20">
        <v>10.4</v>
      </c>
      <c r="V50" s="20">
        <v>2</v>
      </c>
      <c r="W50" s="20">
        <v>3.6419999999999999</v>
      </c>
      <c r="X50" s="20">
        <v>3.65</v>
      </c>
      <c r="Y50" s="21">
        <v>7.2919999999999998</v>
      </c>
      <c r="Z50" s="20">
        <v>24.9</v>
      </c>
      <c r="AA50" s="20">
        <v>8.1999999999999993</v>
      </c>
      <c r="AB50" s="20">
        <v>14</v>
      </c>
      <c r="AC50" s="20">
        <v>3.9</v>
      </c>
      <c r="AD50" s="20">
        <v>6.9</v>
      </c>
      <c r="AE50" s="20">
        <v>1.9</v>
      </c>
      <c r="AF50" s="20">
        <v>5.0999999999999996</v>
      </c>
      <c r="AG50" s="20">
        <v>0</v>
      </c>
      <c r="AH50" s="20">
        <v>0</v>
      </c>
      <c r="AI50" s="20">
        <v>7.4</v>
      </c>
      <c r="AJ50" s="20">
        <v>1.3</v>
      </c>
      <c r="AK50" s="20">
        <v>0.5</v>
      </c>
      <c r="AL50" s="20">
        <v>1.5</v>
      </c>
      <c r="AM50" s="20">
        <v>0.3</v>
      </c>
      <c r="AN50" s="20">
        <v>0.30399598542</v>
      </c>
      <c r="AO50" s="20">
        <v>6.5000000000000002E-2</v>
      </c>
      <c r="AP50" s="20">
        <v>1.2030000000000001</v>
      </c>
      <c r="AQ50" s="20">
        <v>10.528</v>
      </c>
      <c r="AR50" s="22">
        <f t="shared" si="1"/>
        <v>420.13199598541991</v>
      </c>
    </row>
    <row r="51" spans="1:44" s="14" customFormat="1" hidden="1" outlineLevel="1" x14ac:dyDescent="0.3">
      <c r="A51" s="44">
        <v>42856</v>
      </c>
      <c r="B51" s="28">
        <f t="shared" si="7"/>
        <v>44.713999999999999</v>
      </c>
      <c r="C51" s="20">
        <v>19.736999999999998</v>
      </c>
      <c r="D51" s="20">
        <v>24.977</v>
      </c>
      <c r="E51" s="20">
        <v>19.7</v>
      </c>
      <c r="F51" s="20">
        <v>4.4000000000000004</v>
      </c>
      <c r="G51" s="20">
        <v>19.100000000000001</v>
      </c>
      <c r="H51" s="20">
        <v>41.4</v>
      </c>
      <c r="I51" s="20">
        <v>12</v>
      </c>
      <c r="J51" s="23">
        <v>141.31399999999999</v>
      </c>
      <c r="K51" s="20">
        <v>82.7</v>
      </c>
      <c r="L51" s="20">
        <v>18.399999999999999</v>
      </c>
      <c r="M51" s="20">
        <v>6.2</v>
      </c>
      <c r="N51" s="20">
        <v>7.3</v>
      </c>
      <c r="O51" s="20">
        <v>44.9</v>
      </c>
      <c r="P51" s="20">
        <v>26.405999999999999</v>
      </c>
      <c r="Q51" s="20">
        <v>4.5919999999999996</v>
      </c>
      <c r="R51" s="21">
        <v>30.997999999999998</v>
      </c>
      <c r="S51" s="20">
        <v>6.1</v>
      </c>
      <c r="T51" s="20">
        <v>13.5</v>
      </c>
      <c r="U51" s="20">
        <v>4.4000000000000004</v>
      </c>
      <c r="V51" s="20">
        <v>2.6</v>
      </c>
      <c r="W51" s="20">
        <v>3.7789999999999999</v>
      </c>
      <c r="X51" s="20">
        <v>3.6019999999999999</v>
      </c>
      <c r="Y51" s="21">
        <v>7.3810000000000002</v>
      </c>
      <c r="Z51" s="20">
        <v>31.3</v>
      </c>
      <c r="AA51" s="20">
        <v>9</v>
      </c>
      <c r="AB51" s="20">
        <v>17.5</v>
      </c>
      <c r="AC51" s="20">
        <v>5.5</v>
      </c>
      <c r="AD51" s="20">
        <v>6.1</v>
      </c>
      <c r="AE51" s="20">
        <v>1.9</v>
      </c>
      <c r="AF51" s="20">
        <v>5.7</v>
      </c>
      <c r="AG51" s="20">
        <v>0</v>
      </c>
      <c r="AH51" s="20">
        <v>0</v>
      </c>
      <c r="AI51" s="20">
        <v>8.1999999999999993</v>
      </c>
      <c r="AJ51" s="20">
        <v>0.3</v>
      </c>
      <c r="AK51" s="20">
        <v>0.6</v>
      </c>
      <c r="AL51" s="20">
        <v>1.4</v>
      </c>
      <c r="AM51" s="20">
        <v>0.3</v>
      </c>
      <c r="AN51" s="20">
        <v>0.30055933177999999</v>
      </c>
      <c r="AO51" s="20">
        <v>0</v>
      </c>
      <c r="AP51" s="20">
        <v>0.92200000000000004</v>
      </c>
      <c r="AQ51" s="20">
        <v>11.177</v>
      </c>
      <c r="AR51" s="22">
        <f t="shared" si="1"/>
        <v>465.99255933178006</v>
      </c>
    </row>
    <row r="52" spans="1:44" s="14" customFormat="1" hidden="1" outlineLevel="1" x14ac:dyDescent="0.3">
      <c r="A52" s="44">
        <v>42887</v>
      </c>
      <c r="B52" s="28">
        <f t="shared" si="7"/>
        <v>45.335000000000001</v>
      </c>
      <c r="C52" s="20">
        <v>19.901</v>
      </c>
      <c r="D52" s="20">
        <v>25.434000000000001</v>
      </c>
      <c r="E52" s="20">
        <v>15.6</v>
      </c>
      <c r="F52" s="20">
        <v>3.7</v>
      </c>
      <c r="G52" s="20">
        <v>16.7</v>
      </c>
      <c r="H52" s="20">
        <v>40.700000000000003</v>
      </c>
      <c r="I52" s="20">
        <v>10.7</v>
      </c>
      <c r="J52" s="23">
        <v>132.73500000000001</v>
      </c>
      <c r="K52" s="20">
        <v>84.1</v>
      </c>
      <c r="L52" s="20">
        <v>18.2</v>
      </c>
      <c r="M52" s="20">
        <v>6.2</v>
      </c>
      <c r="N52" s="20">
        <v>6.7</v>
      </c>
      <c r="O52" s="20">
        <v>39.9</v>
      </c>
      <c r="P52" s="20">
        <v>22.619</v>
      </c>
      <c r="Q52" s="20">
        <v>4.07</v>
      </c>
      <c r="R52" s="21">
        <v>26.689</v>
      </c>
      <c r="S52" s="20">
        <v>6.1</v>
      </c>
      <c r="T52" s="20">
        <v>15.4</v>
      </c>
      <c r="U52" s="20">
        <v>6.2</v>
      </c>
      <c r="V52" s="20">
        <v>2</v>
      </c>
      <c r="W52" s="20">
        <v>3.56</v>
      </c>
      <c r="X52" s="20">
        <v>3.5190000000000001</v>
      </c>
      <c r="Y52" s="21">
        <v>7.0790000000000006</v>
      </c>
      <c r="Z52" s="20">
        <v>28.1</v>
      </c>
      <c r="AA52" s="20">
        <v>8</v>
      </c>
      <c r="AB52" s="20">
        <v>15.8</v>
      </c>
      <c r="AC52" s="20">
        <v>4.4000000000000004</v>
      </c>
      <c r="AD52" s="20">
        <v>6.2</v>
      </c>
      <c r="AE52" s="20">
        <v>1.6</v>
      </c>
      <c r="AF52" s="20">
        <v>6.2</v>
      </c>
      <c r="AG52" s="20">
        <v>0</v>
      </c>
      <c r="AH52" s="20">
        <v>0</v>
      </c>
      <c r="AI52" s="20">
        <v>9.4</v>
      </c>
      <c r="AJ52" s="20">
        <v>0</v>
      </c>
      <c r="AK52" s="20">
        <v>0.5</v>
      </c>
      <c r="AL52" s="20">
        <v>1.7</v>
      </c>
      <c r="AM52" s="20">
        <v>0.5</v>
      </c>
      <c r="AN52" s="20">
        <v>0.26146399999999997</v>
      </c>
      <c r="AO52" s="20">
        <v>0</v>
      </c>
      <c r="AP52" s="20">
        <v>1.028</v>
      </c>
      <c r="AQ52" s="20">
        <v>8.8109999999999999</v>
      </c>
      <c r="AR52" s="22">
        <f t="shared" si="1"/>
        <v>443.80346399999991</v>
      </c>
    </row>
    <row r="53" spans="1:44" s="14" customFormat="1" hidden="1" outlineLevel="1" x14ac:dyDescent="0.3">
      <c r="A53" s="44">
        <v>42917</v>
      </c>
      <c r="B53" s="28">
        <f t="shared" si="7"/>
        <v>55.68</v>
      </c>
      <c r="C53" s="20">
        <v>27.108000000000001</v>
      </c>
      <c r="D53" s="20">
        <v>28.571999999999999</v>
      </c>
      <c r="E53" s="20">
        <v>16.7</v>
      </c>
      <c r="F53" s="20">
        <v>5.9</v>
      </c>
      <c r="G53" s="20">
        <v>17.8</v>
      </c>
      <c r="H53" s="20">
        <v>43.4</v>
      </c>
      <c r="I53" s="20">
        <v>11.5</v>
      </c>
      <c r="J53" s="23">
        <v>150.98000000000002</v>
      </c>
      <c r="K53" s="20">
        <v>81.400000000000006</v>
      </c>
      <c r="L53" s="20">
        <v>14</v>
      </c>
      <c r="M53" s="20">
        <v>4.8</v>
      </c>
      <c r="N53" s="20">
        <v>6.5</v>
      </c>
      <c r="O53" s="20">
        <v>41.1</v>
      </c>
      <c r="P53" s="20">
        <v>28.21</v>
      </c>
      <c r="Q53" s="20">
        <v>3.734</v>
      </c>
      <c r="R53" s="21">
        <v>31.944000000000003</v>
      </c>
      <c r="S53" s="20">
        <v>6.8</v>
      </c>
      <c r="T53" s="20">
        <v>11.4</v>
      </c>
      <c r="U53" s="20">
        <v>10.1</v>
      </c>
      <c r="V53" s="20">
        <v>2.6</v>
      </c>
      <c r="W53" s="20">
        <v>4.0529999999999999</v>
      </c>
      <c r="X53" s="20">
        <v>3.9079999999999999</v>
      </c>
      <c r="Y53" s="21">
        <v>7.9610000000000003</v>
      </c>
      <c r="Z53" s="20">
        <v>29.4</v>
      </c>
      <c r="AA53" s="20">
        <v>8.4</v>
      </c>
      <c r="AB53" s="20">
        <v>17.7</v>
      </c>
      <c r="AC53" s="20">
        <v>4.3</v>
      </c>
      <c r="AD53" s="20">
        <v>7</v>
      </c>
      <c r="AE53" s="20">
        <v>1.7</v>
      </c>
      <c r="AF53" s="20">
        <v>6.4</v>
      </c>
      <c r="AG53" s="20">
        <v>0</v>
      </c>
      <c r="AH53" s="20">
        <v>0</v>
      </c>
      <c r="AI53" s="20">
        <v>7.2</v>
      </c>
      <c r="AJ53" s="20">
        <v>0.8</v>
      </c>
      <c r="AK53" s="20">
        <v>0.5</v>
      </c>
      <c r="AL53" s="20">
        <v>1.7</v>
      </c>
      <c r="AM53" s="20">
        <v>0.5</v>
      </c>
      <c r="AN53" s="20">
        <v>0.28503499999999998</v>
      </c>
      <c r="AO53" s="20">
        <v>0</v>
      </c>
      <c r="AP53" s="20">
        <v>1.268</v>
      </c>
      <c r="AQ53" s="20">
        <v>11.347000000000001</v>
      </c>
      <c r="AR53" s="22">
        <f t="shared" si="1"/>
        <v>468.08503499999995</v>
      </c>
    </row>
    <row r="54" spans="1:44" s="14" customFormat="1" hidden="1" outlineLevel="1" x14ac:dyDescent="0.3">
      <c r="A54" s="44">
        <v>42948</v>
      </c>
      <c r="B54" s="28">
        <f t="shared" si="7"/>
        <v>56.768000000000001</v>
      </c>
      <c r="C54" s="20">
        <v>31.893999999999998</v>
      </c>
      <c r="D54" s="20">
        <v>24.873999999999999</v>
      </c>
      <c r="E54" s="20">
        <v>17.5</v>
      </c>
      <c r="F54" s="20">
        <v>5.6</v>
      </c>
      <c r="G54" s="20">
        <v>17.399999999999999</v>
      </c>
      <c r="H54" s="20">
        <v>43</v>
      </c>
      <c r="I54" s="20">
        <v>10.1</v>
      </c>
      <c r="J54" s="23">
        <v>150.36799999999999</v>
      </c>
      <c r="K54" s="20">
        <v>97.8</v>
      </c>
      <c r="L54" s="20">
        <v>14.8</v>
      </c>
      <c r="M54" s="20">
        <v>4.0999999999999996</v>
      </c>
      <c r="N54" s="20">
        <v>6.5</v>
      </c>
      <c r="O54" s="20">
        <v>43.6</v>
      </c>
      <c r="P54" s="20">
        <v>28.202000000000002</v>
      </c>
      <c r="Q54" s="20">
        <v>3.8660000000000001</v>
      </c>
      <c r="R54" s="21">
        <v>32.068000000000005</v>
      </c>
      <c r="S54" s="20">
        <v>6.8</v>
      </c>
      <c r="T54" s="20">
        <v>13.5</v>
      </c>
      <c r="U54" s="20">
        <v>12.1</v>
      </c>
      <c r="V54" s="20">
        <v>2.5</v>
      </c>
      <c r="W54" s="20">
        <v>4.28</v>
      </c>
      <c r="X54" s="20">
        <v>4.0069999999999997</v>
      </c>
      <c r="Y54" s="21">
        <v>8.286999999999999</v>
      </c>
      <c r="Z54" s="20">
        <v>30.1</v>
      </c>
      <c r="AA54" s="20">
        <v>8.6999999999999993</v>
      </c>
      <c r="AB54" s="20">
        <v>18</v>
      </c>
      <c r="AC54" s="20">
        <v>4.4000000000000004</v>
      </c>
      <c r="AD54" s="20">
        <v>6.7</v>
      </c>
      <c r="AE54" s="20">
        <v>1.7</v>
      </c>
      <c r="AF54" s="20">
        <v>6.9</v>
      </c>
      <c r="AG54" s="20">
        <v>0</v>
      </c>
      <c r="AH54" s="20">
        <v>0</v>
      </c>
      <c r="AI54" s="20">
        <v>9.6999999999999993</v>
      </c>
      <c r="AJ54" s="20">
        <v>0.8</v>
      </c>
      <c r="AK54" s="20">
        <v>0.5</v>
      </c>
      <c r="AL54" s="20">
        <v>1.7</v>
      </c>
      <c r="AM54" s="20">
        <v>0.4</v>
      </c>
      <c r="AN54" s="20">
        <v>0.37968000000000002</v>
      </c>
      <c r="AO54" s="20">
        <v>0</v>
      </c>
      <c r="AP54" s="20">
        <v>1.1719999999999999</v>
      </c>
      <c r="AQ54" s="20">
        <v>12.947999999999999</v>
      </c>
      <c r="AR54" s="22">
        <f t="shared" si="1"/>
        <v>496.52267999999998</v>
      </c>
    </row>
    <row r="55" spans="1:44" s="14" customFormat="1" hidden="1" outlineLevel="1" x14ac:dyDescent="0.3">
      <c r="A55" s="44">
        <v>42979</v>
      </c>
      <c r="B55" s="28">
        <f t="shared" si="7"/>
        <v>52.212000000000003</v>
      </c>
      <c r="C55" s="20">
        <v>30.376000000000001</v>
      </c>
      <c r="D55" s="20">
        <v>21.835999999999999</v>
      </c>
      <c r="E55" s="20">
        <v>16.100000000000001</v>
      </c>
      <c r="F55" s="20">
        <v>5.8</v>
      </c>
      <c r="G55" s="20">
        <v>16.899999999999999</v>
      </c>
      <c r="H55" s="20">
        <v>40.700000000000003</v>
      </c>
      <c r="I55" s="20">
        <v>10.7</v>
      </c>
      <c r="J55" s="23">
        <v>142.41200000000001</v>
      </c>
      <c r="K55" s="20">
        <v>95.6</v>
      </c>
      <c r="L55" s="20">
        <v>15.9</v>
      </c>
      <c r="M55" s="20">
        <v>4.4000000000000004</v>
      </c>
      <c r="N55" s="20">
        <v>6.8</v>
      </c>
      <c r="O55" s="20">
        <v>48</v>
      </c>
      <c r="P55" s="20">
        <v>21.709</v>
      </c>
      <c r="Q55" s="20">
        <v>3.2690000000000001</v>
      </c>
      <c r="R55" s="21">
        <v>24.978000000000002</v>
      </c>
      <c r="S55" s="20">
        <v>6.6</v>
      </c>
      <c r="T55" s="20">
        <v>15.2</v>
      </c>
      <c r="U55" s="20">
        <v>10.8</v>
      </c>
      <c r="V55" s="20">
        <v>2.2000000000000002</v>
      </c>
      <c r="W55" s="20">
        <v>3.657</v>
      </c>
      <c r="X55" s="20">
        <v>4.0599999999999996</v>
      </c>
      <c r="Y55" s="21">
        <v>7.7169999999999996</v>
      </c>
      <c r="Z55" s="20">
        <v>30.5</v>
      </c>
      <c r="AA55" s="20">
        <v>8.6</v>
      </c>
      <c r="AB55" s="20">
        <v>11.6</v>
      </c>
      <c r="AC55" s="20">
        <v>4.5999999999999996</v>
      </c>
      <c r="AD55" s="20">
        <v>6.2</v>
      </c>
      <c r="AE55" s="20">
        <v>1.6</v>
      </c>
      <c r="AF55" s="20">
        <v>6.4</v>
      </c>
      <c r="AG55" s="20">
        <v>0</v>
      </c>
      <c r="AH55" s="20">
        <v>0</v>
      </c>
      <c r="AI55" s="20">
        <v>7.7</v>
      </c>
      <c r="AJ55" s="20">
        <v>1.6</v>
      </c>
      <c r="AK55" s="20">
        <v>0.5</v>
      </c>
      <c r="AL55" s="20">
        <v>1.6</v>
      </c>
      <c r="AM55" s="20">
        <v>0.6</v>
      </c>
      <c r="AN55" s="20">
        <v>0.38619100000000001</v>
      </c>
      <c r="AO55" s="20">
        <v>0</v>
      </c>
      <c r="AP55" s="20">
        <v>1.1990000000000001</v>
      </c>
      <c r="AQ55" s="20">
        <v>12.815000000000001</v>
      </c>
      <c r="AR55" s="22">
        <f t="shared" si="1"/>
        <v>476.50719100000015</v>
      </c>
    </row>
    <row r="56" spans="1:44" s="14" customFormat="1" hidden="1" outlineLevel="1" x14ac:dyDescent="0.3">
      <c r="A56" s="44">
        <v>43009</v>
      </c>
      <c r="B56" s="28">
        <f t="shared" si="7"/>
        <v>73.147999999999996</v>
      </c>
      <c r="C56" s="20">
        <v>44.058</v>
      </c>
      <c r="D56" s="20">
        <v>29.09</v>
      </c>
      <c r="E56" s="20">
        <v>17.600000000000001</v>
      </c>
      <c r="F56" s="20">
        <v>6.1</v>
      </c>
      <c r="G56" s="20">
        <v>18.3</v>
      </c>
      <c r="H56" s="20">
        <v>40.6</v>
      </c>
      <c r="I56" s="20">
        <v>10.6</v>
      </c>
      <c r="J56" s="23">
        <v>166.34799999999998</v>
      </c>
      <c r="K56" s="20">
        <v>109.6</v>
      </c>
      <c r="L56" s="20">
        <v>14.7</v>
      </c>
      <c r="M56" s="20">
        <v>5.0999999999999996</v>
      </c>
      <c r="N56" s="20">
        <v>6.2</v>
      </c>
      <c r="O56" s="20">
        <v>48</v>
      </c>
      <c r="P56" s="20">
        <v>22.69</v>
      </c>
      <c r="Q56" s="20">
        <v>3.1760000000000002</v>
      </c>
      <c r="R56" s="21">
        <v>25.866</v>
      </c>
      <c r="S56" s="20">
        <v>7.1</v>
      </c>
      <c r="T56" s="20">
        <v>12</v>
      </c>
      <c r="U56" s="20">
        <v>10.199999999999999</v>
      </c>
      <c r="V56" s="20">
        <v>2.7</v>
      </c>
      <c r="W56" s="20">
        <v>4.0179999999999998</v>
      </c>
      <c r="X56" s="20">
        <v>3.4790000000000001</v>
      </c>
      <c r="Y56" s="21">
        <v>7.4969999999999999</v>
      </c>
      <c r="Z56" s="20">
        <v>31.1</v>
      </c>
      <c r="AA56" s="20">
        <v>9.1</v>
      </c>
      <c r="AB56" s="20">
        <v>9.3000000000000007</v>
      </c>
      <c r="AC56" s="20">
        <v>5.5</v>
      </c>
      <c r="AD56" s="20">
        <v>7</v>
      </c>
      <c r="AE56" s="20">
        <v>1.9</v>
      </c>
      <c r="AF56" s="20">
        <v>6.4</v>
      </c>
      <c r="AG56" s="20">
        <v>0</v>
      </c>
      <c r="AH56" s="20">
        <v>0</v>
      </c>
      <c r="AI56" s="20">
        <v>7.5</v>
      </c>
      <c r="AJ56" s="20">
        <v>1</v>
      </c>
      <c r="AK56" s="20">
        <v>0.5</v>
      </c>
      <c r="AL56" s="20">
        <v>1.8</v>
      </c>
      <c r="AM56" s="20">
        <v>0.4</v>
      </c>
      <c r="AN56" s="20">
        <v>0.36791299999999999</v>
      </c>
      <c r="AO56" s="20">
        <v>0</v>
      </c>
      <c r="AP56" s="20">
        <v>1.2410000000000001</v>
      </c>
      <c r="AQ56" s="20">
        <v>11.991</v>
      </c>
      <c r="AR56" s="22">
        <f t="shared" si="1"/>
        <v>510.41091299999988</v>
      </c>
    </row>
    <row r="57" spans="1:44" s="14" customFormat="1" hidden="1" outlineLevel="1" x14ac:dyDescent="0.3">
      <c r="A57" s="44">
        <v>43040</v>
      </c>
      <c r="B57" s="28">
        <f t="shared" si="7"/>
        <v>67.187000000000012</v>
      </c>
      <c r="C57" s="20">
        <v>34.853000000000002</v>
      </c>
      <c r="D57" s="20">
        <v>32.334000000000003</v>
      </c>
      <c r="E57" s="20">
        <v>16.8</v>
      </c>
      <c r="F57" s="20">
        <v>5.4</v>
      </c>
      <c r="G57" s="20">
        <v>17.8</v>
      </c>
      <c r="H57" s="20">
        <v>37.6</v>
      </c>
      <c r="I57" s="20">
        <v>10</v>
      </c>
      <c r="J57" s="23">
        <v>154.78700000000001</v>
      </c>
      <c r="K57" s="20">
        <v>106.2</v>
      </c>
      <c r="L57" s="20">
        <v>17.7</v>
      </c>
      <c r="M57" s="20">
        <v>5.8</v>
      </c>
      <c r="N57" s="20">
        <v>5.7</v>
      </c>
      <c r="O57" s="20">
        <v>47.6</v>
      </c>
      <c r="P57" s="20">
        <v>22.652000000000001</v>
      </c>
      <c r="Q57" s="20">
        <v>3.3050000000000002</v>
      </c>
      <c r="R57" s="21">
        <v>25.957000000000001</v>
      </c>
      <c r="S57" s="20">
        <v>6.5</v>
      </c>
      <c r="T57" s="20">
        <v>10.3</v>
      </c>
      <c r="U57" s="20">
        <v>11.8</v>
      </c>
      <c r="V57" s="20">
        <v>2.2000000000000002</v>
      </c>
      <c r="W57" s="20">
        <v>3.7789999999999999</v>
      </c>
      <c r="X57" s="20">
        <v>3.44</v>
      </c>
      <c r="Y57" s="21">
        <v>7.2189999999999994</v>
      </c>
      <c r="Z57" s="20">
        <v>31.4</v>
      </c>
      <c r="AA57" s="20">
        <v>7.6</v>
      </c>
      <c r="AB57" s="20">
        <v>10.4</v>
      </c>
      <c r="AC57" s="20">
        <v>6.9</v>
      </c>
      <c r="AD57" s="20">
        <v>7.2</v>
      </c>
      <c r="AE57" s="20">
        <v>2</v>
      </c>
      <c r="AF57" s="20">
        <v>5.8</v>
      </c>
      <c r="AG57" s="20">
        <v>0</v>
      </c>
      <c r="AH57" s="20">
        <v>0</v>
      </c>
      <c r="AI57" s="20">
        <v>9.1</v>
      </c>
      <c r="AJ57" s="20">
        <v>0.3</v>
      </c>
      <c r="AK57" s="20">
        <v>0.4</v>
      </c>
      <c r="AL57" s="20">
        <v>1.8</v>
      </c>
      <c r="AM57" s="20">
        <v>0.3</v>
      </c>
      <c r="AN57" s="20">
        <v>8.0364999999999992E-2</v>
      </c>
      <c r="AO57" s="20">
        <v>0</v>
      </c>
      <c r="AP57" s="20">
        <v>1.218</v>
      </c>
      <c r="AQ57" s="20">
        <v>11.602</v>
      </c>
      <c r="AR57" s="22">
        <f t="shared" si="1"/>
        <v>497.86336499999999</v>
      </c>
    </row>
    <row r="58" spans="1:44" s="14" customFormat="1" hidden="1" outlineLevel="1" x14ac:dyDescent="0.3">
      <c r="A58" s="44">
        <v>43070</v>
      </c>
      <c r="B58" s="28">
        <f t="shared" si="7"/>
        <v>77.144999999999996</v>
      </c>
      <c r="C58" s="20">
        <v>47.030999999999999</v>
      </c>
      <c r="D58" s="20">
        <v>30.114000000000001</v>
      </c>
      <c r="E58" s="20">
        <v>17.600000000000001</v>
      </c>
      <c r="F58" s="20">
        <v>6.6</v>
      </c>
      <c r="G58" s="20">
        <v>19.7</v>
      </c>
      <c r="H58" s="20">
        <v>39.9</v>
      </c>
      <c r="I58" s="20">
        <v>10.1</v>
      </c>
      <c r="J58" s="23">
        <v>171.04500000000002</v>
      </c>
      <c r="K58" s="20">
        <v>106.9</v>
      </c>
      <c r="L58" s="20">
        <v>18.600000000000001</v>
      </c>
      <c r="M58" s="20">
        <v>6.5</v>
      </c>
      <c r="N58" s="20">
        <v>5.3</v>
      </c>
      <c r="O58" s="20">
        <v>48.8</v>
      </c>
      <c r="P58" s="20">
        <v>30.013999999999999</v>
      </c>
      <c r="Q58" s="20">
        <v>3.2040000000000002</v>
      </c>
      <c r="R58" s="21">
        <v>33.217999999999996</v>
      </c>
      <c r="S58" s="20">
        <v>7.4</v>
      </c>
      <c r="T58" s="20">
        <v>11.9</v>
      </c>
      <c r="U58" s="20">
        <v>11.9</v>
      </c>
      <c r="V58" s="20">
        <v>2.1</v>
      </c>
      <c r="W58" s="20">
        <v>4.0529999999999999</v>
      </c>
      <c r="X58" s="20">
        <v>3.3039999999999998</v>
      </c>
      <c r="Y58" s="21">
        <v>7.3569999999999993</v>
      </c>
      <c r="Z58" s="20">
        <v>33.6</v>
      </c>
      <c r="AA58" s="20">
        <v>9</v>
      </c>
      <c r="AB58" s="20">
        <v>10.5</v>
      </c>
      <c r="AC58" s="20">
        <v>8.5</v>
      </c>
      <c r="AD58" s="20">
        <v>6.9</v>
      </c>
      <c r="AE58" s="20">
        <v>2.2000000000000002</v>
      </c>
      <c r="AF58" s="20">
        <v>6.7</v>
      </c>
      <c r="AG58" s="20">
        <v>0</v>
      </c>
      <c r="AH58" s="20">
        <v>0</v>
      </c>
      <c r="AI58" s="20">
        <v>8.8000000000000007</v>
      </c>
      <c r="AJ58" s="20">
        <v>1.1000000000000001</v>
      </c>
      <c r="AK58" s="20">
        <v>0.5</v>
      </c>
      <c r="AL58" s="20">
        <v>1.7</v>
      </c>
      <c r="AM58" s="20">
        <v>0.5</v>
      </c>
      <c r="AN58" s="20">
        <v>0.31436500000000001</v>
      </c>
      <c r="AO58" s="20">
        <v>0</v>
      </c>
      <c r="AP58" s="20">
        <v>1.337</v>
      </c>
      <c r="AQ58" s="20">
        <v>9.4489999999999998</v>
      </c>
      <c r="AR58" s="22">
        <f t="shared" si="1"/>
        <v>532.12036499999999</v>
      </c>
    </row>
    <row r="59" spans="1:44" s="14" customFormat="1" collapsed="1" x14ac:dyDescent="0.3">
      <c r="A59" s="45" t="s">
        <v>36</v>
      </c>
      <c r="B59" s="24">
        <f>SUM(B47:B58)</f>
        <v>649.79099999999994</v>
      </c>
      <c r="C59" s="24">
        <f>SUM(C47:C58)</f>
        <v>330.91300000000001</v>
      </c>
      <c r="D59" s="24">
        <f t="shared" ref="D59:AR59" si="8">SUM(D47:D58)</f>
        <v>318.87799999999993</v>
      </c>
      <c r="E59" s="24">
        <f t="shared" si="8"/>
        <v>215.1</v>
      </c>
      <c r="F59" s="24">
        <f t="shared" si="8"/>
        <v>62</v>
      </c>
      <c r="G59" s="24">
        <f t="shared" si="8"/>
        <v>220.00000000000003</v>
      </c>
      <c r="H59" s="24">
        <f t="shared" si="8"/>
        <v>464.3</v>
      </c>
      <c r="I59" s="24">
        <f t="shared" si="8"/>
        <v>122.69999999999999</v>
      </c>
      <c r="J59" s="25">
        <f t="shared" si="8"/>
        <v>1733.8910000000001</v>
      </c>
      <c r="K59" s="24">
        <f t="shared" si="8"/>
        <v>925.4</v>
      </c>
      <c r="L59" s="24">
        <f>SUM(L47:L58)</f>
        <v>198.59999999999997</v>
      </c>
      <c r="M59" s="24">
        <f>SUM(M47:M58)</f>
        <v>66.199999999999989</v>
      </c>
      <c r="N59" s="24">
        <f>SUM(N47:N58)</f>
        <v>78</v>
      </c>
      <c r="O59" s="24">
        <f t="shared" si="8"/>
        <v>524</v>
      </c>
      <c r="P59" s="24">
        <f t="shared" si="8"/>
        <v>308.26800000000003</v>
      </c>
      <c r="Q59" s="24">
        <f t="shared" si="8"/>
        <v>40.463000000000001</v>
      </c>
      <c r="R59" s="26">
        <f t="shared" si="8"/>
        <v>348.73099999999999</v>
      </c>
      <c r="S59" s="24">
        <f t="shared" si="8"/>
        <v>78.400000000000006</v>
      </c>
      <c r="T59" s="24">
        <f t="shared" si="8"/>
        <v>150.30000000000004</v>
      </c>
      <c r="U59" s="24">
        <f>SUM(U47:U58)</f>
        <v>122.8</v>
      </c>
      <c r="V59" s="24">
        <f>SUM(V47:V58)</f>
        <v>27.099999999999998</v>
      </c>
      <c r="W59" s="24">
        <f t="shared" si="8"/>
        <v>45.697999999999993</v>
      </c>
      <c r="X59" s="24">
        <f t="shared" si="8"/>
        <v>42.113</v>
      </c>
      <c r="Y59" s="26">
        <f t="shared" si="8"/>
        <v>87.810999999999993</v>
      </c>
      <c r="Z59" s="24">
        <f>SUM(Z47:Z58)</f>
        <v>356.30000000000007</v>
      </c>
      <c r="AA59" s="24">
        <f t="shared" si="8"/>
        <v>103.29999999999998</v>
      </c>
      <c r="AB59" s="24">
        <f>SUM(AB47:AB58)</f>
        <v>163.80000000000001</v>
      </c>
      <c r="AC59" s="24">
        <f t="shared" si="8"/>
        <v>64.5</v>
      </c>
      <c r="AD59" s="24">
        <f>SUM(AD47:AD58)</f>
        <v>80.500000000000014</v>
      </c>
      <c r="AE59" s="24">
        <f t="shared" si="8"/>
        <v>23.399999999999995</v>
      </c>
      <c r="AF59" s="24">
        <f>SUM(AF47:AF58)</f>
        <v>76</v>
      </c>
      <c r="AG59" s="24">
        <f t="shared" si="8"/>
        <v>0</v>
      </c>
      <c r="AH59" s="24">
        <f>SUM(AH47:AH58)</f>
        <v>0</v>
      </c>
      <c r="AI59" s="24">
        <f t="shared" si="8"/>
        <v>101.69999999999999</v>
      </c>
      <c r="AJ59" s="24">
        <f t="shared" si="8"/>
        <v>10.1</v>
      </c>
      <c r="AK59" s="24">
        <f t="shared" si="8"/>
        <v>5.9</v>
      </c>
      <c r="AL59" s="24">
        <f t="shared" si="8"/>
        <v>19.599999999999998</v>
      </c>
      <c r="AM59" s="24">
        <f t="shared" si="8"/>
        <v>5.5</v>
      </c>
      <c r="AN59" s="24">
        <f t="shared" si="8"/>
        <v>3.5803231085800005</v>
      </c>
      <c r="AO59" s="24">
        <f t="shared" si="8"/>
        <v>0.311</v>
      </c>
      <c r="AP59" s="24">
        <f t="shared" si="8"/>
        <v>14.355</v>
      </c>
      <c r="AQ59" s="24">
        <v>133.45400000000001</v>
      </c>
      <c r="AR59" s="27">
        <f t="shared" si="8"/>
        <v>5503.5333231085797</v>
      </c>
    </row>
    <row r="60" spans="1:44" s="14" customFormat="1" hidden="1" outlineLevel="1" x14ac:dyDescent="0.3">
      <c r="A60" s="44">
        <v>43101</v>
      </c>
      <c r="B60" s="28">
        <f t="shared" ref="B60:B71" si="9">C60+D60</f>
        <v>50.858000000000004</v>
      </c>
      <c r="C60" s="29">
        <v>19.12</v>
      </c>
      <c r="D60" s="20">
        <v>31.738</v>
      </c>
      <c r="E60" s="20">
        <v>16.7</v>
      </c>
      <c r="F60" s="20">
        <v>5.0999999999999996</v>
      </c>
      <c r="G60" s="20">
        <v>18.899999999999999</v>
      </c>
      <c r="H60" s="20">
        <v>36.700000000000003</v>
      </c>
      <c r="I60" s="20">
        <v>8.6999999999999993</v>
      </c>
      <c r="J60" s="23">
        <v>136.95800000000003</v>
      </c>
      <c r="K60" s="20">
        <v>107</v>
      </c>
      <c r="L60" s="20">
        <v>18.600000000000001</v>
      </c>
      <c r="M60" s="20">
        <v>5.2</v>
      </c>
      <c r="N60" s="20">
        <v>5.5</v>
      </c>
      <c r="O60" s="20">
        <v>54.1</v>
      </c>
      <c r="P60" s="20">
        <v>25.981000000000002</v>
      </c>
      <c r="Q60" s="20">
        <v>2.7629999999999999</v>
      </c>
      <c r="R60" s="21">
        <v>28.744</v>
      </c>
      <c r="S60" s="20">
        <v>7.2</v>
      </c>
      <c r="T60" s="20">
        <v>7</v>
      </c>
      <c r="U60" s="20">
        <v>11.8</v>
      </c>
      <c r="V60" s="20">
        <v>2</v>
      </c>
      <c r="W60" s="20">
        <v>3.5049999999999999</v>
      </c>
      <c r="X60" s="20">
        <v>2.8610000000000002</v>
      </c>
      <c r="Y60" s="21">
        <v>6.3659999999999997</v>
      </c>
      <c r="Z60" s="20">
        <v>27.4</v>
      </c>
      <c r="AA60" s="20">
        <v>8.1</v>
      </c>
      <c r="AB60" s="20">
        <v>7.8</v>
      </c>
      <c r="AC60" s="20">
        <v>7.8</v>
      </c>
      <c r="AD60" s="20">
        <v>4.5999999999999996</v>
      </c>
      <c r="AE60" s="20">
        <v>2.1</v>
      </c>
      <c r="AF60" s="20">
        <v>6</v>
      </c>
      <c r="AG60" s="20">
        <v>0</v>
      </c>
      <c r="AH60" s="20">
        <v>0</v>
      </c>
      <c r="AI60" s="20">
        <v>6.9</v>
      </c>
      <c r="AJ60" s="20">
        <v>0.8</v>
      </c>
      <c r="AK60" s="20">
        <v>0.5</v>
      </c>
      <c r="AL60" s="20">
        <v>1.1000000000000001</v>
      </c>
      <c r="AM60" s="20">
        <v>0.4</v>
      </c>
      <c r="AN60" s="20">
        <v>0.33334800000000003</v>
      </c>
      <c r="AO60" s="20">
        <v>0</v>
      </c>
      <c r="AP60" s="20">
        <v>0.76600000000000001</v>
      </c>
      <c r="AQ60" s="20">
        <v>11.038</v>
      </c>
      <c r="AR60" s="22">
        <f t="shared" si="1"/>
        <v>476.10534800000011</v>
      </c>
    </row>
    <row r="61" spans="1:44" s="14" customFormat="1" hidden="1" outlineLevel="1" x14ac:dyDescent="0.3">
      <c r="A61" s="44">
        <v>43132</v>
      </c>
      <c r="B61" s="28">
        <f t="shared" si="9"/>
        <v>52.447000000000003</v>
      </c>
      <c r="C61" s="29">
        <v>23.029</v>
      </c>
      <c r="D61" s="20">
        <v>29.417999999999999</v>
      </c>
      <c r="E61" s="20">
        <v>16.3</v>
      </c>
      <c r="F61" s="20">
        <v>4.0999999999999996</v>
      </c>
      <c r="G61" s="20">
        <v>13</v>
      </c>
      <c r="H61" s="20">
        <v>37.9</v>
      </c>
      <c r="I61" s="20">
        <v>9.1999999999999993</v>
      </c>
      <c r="J61" s="23">
        <v>132.947</v>
      </c>
      <c r="K61" s="20">
        <v>103</v>
      </c>
      <c r="L61" s="20">
        <v>16.5</v>
      </c>
      <c r="M61" s="20">
        <v>4.3</v>
      </c>
      <c r="N61" s="20">
        <v>5.6</v>
      </c>
      <c r="O61" s="20">
        <v>42.5</v>
      </c>
      <c r="P61" s="20">
        <v>28.045999999999999</v>
      </c>
      <c r="Q61" s="20">
        <v>2.8170000000000002</v>
      </c>
      <c r="R61" s="21">
        <v>30.863</v>
      </c>
      <c r="S61" s="20">
        <v>7.2</v>
      </c>
      <c r="T61" s="20">
        <v>7.9</v>
      </c>
      <c r="U61" s="20">
        <v>11.8</v>
      </c>
      <c r="V61" s="20">
        <v>1.9</v>
      </c>
      <c r="W61" s="20">
        <v>3.242</v>
      </c>
      <c r="X61" s="20">
        <v>2.8</v>
      </c>
      <c r="Y61" s="21">
        <v>6.0419999999999998</v>
      </c>
      <c r="Z61" s="20">
        <v>26.6</v>
      </c>
      <c r="AA61" s="20">
        <v>6.3</v>
      </c>
      <c r="AB61" s="20">
        <v>8.1</v>
      </c>
      <c r="AC61" s="20">
        <v>6.7</v>
      </c>
      <c r="AD61" s="20">
        <v>5</v>
      </c>
      <c r="AE61" s="20">
        <v>1.8</v>
      </c>
      <c r="AF61" s="20">
        <v>5</v>
      </c>
      <c r="AG61" s="20">
        <v>0</v>
      </c>
      <c r="AH61" s="20">
        <v>0</v>
      </c>
      <c r="AI61" s="20">
        <v>8</v>
      </c>
      <c r="AJ61" s="20">
        <v>1</v>
      </c>
      <c r="AK61" s="20">
        <v>0.4</v>
      </c>
      <c r="AL61" s="20">
        <v>1.2</v>
      </c>
      <c r="AM61" s="20">
        <v>0.3</v>
      </c>
      <c r="AN61" s="20">
        <v>0.29249999999999998</v>
      </c>
      <c r="AO61" s="20">
        <v>0</v>
      </c>
      <c r="AP61" s="20">
        <v>1.141</v>
      </c>
      <c r="AQ61" s="20">
        <v>10.770999999999999</v>
      </c>
      <c r="AR61" s="22">
        <f t="shared" si="1"/>
        <v>453.15650000000011</v>
      </c>
    </row>
    <row r="62" spans="1:44" s="14" customFormat="1" hidden="1" outlineLevel="1" x14ac:dyDescent="0.3">
      <c r="A62" s="44">
        <v>43160</v>
      </c>
      <c r="B62" s="28">
        <f t="shared" si="9"/>
        <v>62.173000000000002</v>
      </c>
      <c r="C62" s="29">
        <v>27.422999999999998</v>
      </c>
      <c r="D62" s="20">
        <v>34.75</v>
      </c>
      <c r="E62" s="20">
        <v>14.9</v>
      </c>
      <c r="F62" s="20">
        <v>4.5999999999999996</v>
      </c>
      <c r="G62" s="20">
        <v>18.399999999999999</v>
      </c>
      <c r="H62" s="20">
        <v>39.6</v>
      </c>
      <c r="I62" s="20">
        <v>6.8</v>
      </c>
      <c r="J62" s="23">
        <v>146.47300000000001</v>
      </c>
      <c r="K62" s="20">
        <v>112.7</v>
      </c>
      <c r="L62" s="20">
        <v>18.100000000000001</v>
      </c>
      <c r="M62" s="20">
        <v>4.0999999999999996</v>
      </c>
      <c r="N62" s="20">
        <v>5.9</v>
      </c>
      <c r="O62" s="20">
        <v>41</v>
      </c>
      <c r="P62" s="20">
        <v>31.024999999999999</v>
      </c>
      <c r="Q62" s="20">
        <v>3.7080000000000002</v>
      </c>
      <c r="R62" s="21">
        <v>34.732999999999997</v>
      </c>
      <c r="S62" s="20">
        <v>8.1999999999999993</v>
      </c>
      <c r="T62" s="20">
        <v>10</v>
      </c>
      <c r="U62" s="20">
        <v>10</v>
      </c>
      <c r="V62" s="20">
        <v>2</v>
      </c>
      <c r="W62" s="20">
        <v>3.3010000000000002</v>
      </c>
      <c r="X62" s="20">
        <v>3.1520000000000001</v>
      </c>
      <c r="Y62" s="21">
        <v>6.4530000000000003</v>
      </c>
      <c r="Z62" s="20">
        <v>30</v>
      </c>
      <c r="AA62" s="20">
        <v>7.2</v>
      </c>
      <c r="AB62" s="20">
        <v>9.4</v>
      </c>
      <c r="AC62" s="20">
        <v>7.5</v>
      </c>
      <c r="AD62" s="20">
        <v>5</v>
      </c>
      <c r="AE62" s="20">
        <v>2.2000000000000002</v>
      </c>
      <c r="AF62" s="20">
        <v>5.7</v>
      </c>
      <c r="AG62" s="20">
        <v>0</v>
      </c>
      <c r="AH62" s="20">
        <v>0</v>
      </c>
      <c r="AI62" s="20">
        <v>8</v>
      </c>
      <c r="AJ62" s="20">
        <v>0.9</v>
      </c>
      <c r="AK62" s="20">
        <v>0.5</v>
      </c>
      <c r="AL62" s="20">
        <v>1.5</v>
      </c>
      <c r="AM62" s="20">
        <v>0.3</v>
      </c>
      <c r="AN62" s="20">
        <v>0.37564099999999995</v>
      </c>
      <c r="AO62" s="20">
        <v>0</v>
      </c>
      <c r="AP62" s="20">
        <v>1.1319999999999999</v>
      </c>
      <c r="AQ62" s="20">
        <v>8.7040000000000006</v>
      </c>
      <c r="AR62" s="22">
        <f t="shared" si="1"/>
        <v>488.07064099999991</v>
      </c>
    </row>
    <row r="63" spans="1:44" s="14" customFormat="1" hidden="1" outlineLevel="1" x14ac:dyDescent="0.3">
      <c r="A63" s="44">
        <v>43191</v>
      </c>
      <c r="B63" s="28">
        <f t="shared" si="9"/>
        <v>50.228999999999999</v>
      </c>
      <c r="C63" s="29">
        <v>24.937999999999999</v>
      </c>
      <c r="D63" s="20">
        <v>25.291</v>
      </c>
      <c r="E63" s="20">
        <v>16.3</v>
      </c>
      <c r="F63" s="20">
        <v>5</v>
      </c>
      <c r="G63" s="20">
        <v>14.3</v>
      </c>
      <c r="H63" s="20">
        <v>34.700000000000003</v>
      </c>
      <c r="I63" s="20">
        <v>8.1999999999999993</v>
      </c>
      <c r="J63" s="23">
        <v>128.72900000000001</v>
      </c>
      <c r="K63" s="20">
        <v>109.2</v>
      </c>
      <c r="L63" s="20">
        <v>16.8</v>
      </c>
      <c r="M63" s="20">
        <v>6</v>
      </c>
      <c r="N63" s="20">
        <v>5.4</v>
      </c>
      <c r="O63" s="20">
        <v>43.5</v>
      </c>
      <c r="P63" s="20">
        <v>26.521000000000001</v>
      </c>
      <c r="Q63" s="20">
        <v>4.2069999999999999</v>
      </c>
      <c r="R63" s="21">
        <v>30.728000000000002</v>
      </c>
      <c r="S63" s="20">
        <v>7.6</v>
      </c>
      <c r="T63" s="20">
        <v>8.6999999999999993</v>
      </c>
      <c r="U63" s="20">
        <v>8.4</v>
      </c>
      <c r="V63" s="20">
        <v>2</v>
      </c>
      <c r="W63" s="20">
        <v>2.97</v>
      </c>
      <c r="X63" s="20">
        <v>3.254</v>
      </c>
      <c r="Y63" s="21">
        <v>6.2240000000000002</v>
      </c>
      <c r="Z63" s="20">
        <v>14</v>
      </c>
      <c r="AA63" s="20">
        <v>6.5</v>
      </c>
      <c r="AB63" s="20">
        <v>11.4</v>
      </c>
      <c r="AC63" s="20">
        <v>7.2</v>
      </c>
      <c r="AD63" s="20">
        <v>5.6</v>
      </c>
      <c r="AE63" s="20">
        <v>2.2999999999999998</v>
      </c>
      <c r="AF63" s="20">
        <v>5.6</v>
      </c>
      <c r="AG63" s="20">
        <v>0</v>
      </c>
      <c r="AH63" s="20">
        <v>0</v>
      </c>
      <c r="AI63" s="20">
        <v>7</v>
      </c>
      <c r="AJ63" s="20">
        <v>1</v>
      </c>
      <c r="AK63" s="20">
        <v>0.5</v>
      </c>
      <c r="AL63" s="20">
        <v>1.3</v>
      </c>
      <c r="AM63" s="20">
        <v>0.3</v>
      </c>
      <c r="AN63" s="20">
        <v>0.40463399999999999</v>
      </c>
      <c r="AO63" s="20">
        <v>0</v>
      </c>
      <c r="AP63" s="20">
        <v>1.1220000000000001</v>
      </c>
      <c r="AQ63" s="20">
        <v>9.4</v>
      </c>
      <c r="AR63" s="22">
        <f t="shared" si="1"/>
        <v>446.90763400000009</v>
      </c>
    </row>
    <row r="64" spans="1:44" s="14" customFormat="1" hidden="1" outlineLevel="1" x14ac:dyDescent="0.3">
      <c r="A64" s="44">
        <v>43221</v>
      </c>
      <c r="B64" s="28">
        <f t="shared" si="9"/>
        <v>48.911999999999999</v>
      </c>
      <c r="C64" s="29">
        <v>21.122</v>
      </c>
      <c r="D64" s="20">
        <v>27.79</v>
      </c>
      <c r="E64" s="20">
        <v>15.4</v>
      </c>
      <c r="F64" s="20">
        <v>3.9</v>
      </c>
      <c r="G64" s="20">
        <v>19.100000000000001</v>
      </c>
      <c r="H64" s="20">
        <v>40</v>
      </c>
      <c r="I64" s="20">
        <v>8.6</v>
      </c>
      <c r="J64" s="23">
        <v>135.91200000000001</v>
      </c>
      <c r="K64" s="20">
        <v>113.7</v>
      </c>
      <c r="L64" s="20">
        <v>17.600000000000001</v>
      </c>
      <c r="M64" s="20">
        <v>6.8</v>
      </c>
      <c r="N64" s="20">
        <v>5.6</v>
      </c>
      <c r="O64" s="20">
        <v>39.6</v>
      </c>
      <c r="P64" s="20">
        <v>30.562999999999999</v>
      </c>
      <c r="Q64" s="20">
        <v>5.2210000000000001</v>
      </c>
      <c r="R64" s="21">
        <v>35.783999999999999</v>
      </c>
      <c r="S64" s="20">
        <v>7.9</v>
      </c>
      <c r="T64" s="20">
        <v>9.6</v>
      </c>
      <c r="U64" s="20">
        <v>11.7</v>
      </c>
      <c r="V64" s="20">
        <v>2.2999999999999998</v>
      </c>
      <c r="W64" s="20">
        <v>3.5270000000000001</v>
      </c>
      <c r="X64" s="20">
        <v>3.9620000000000002</v>
      </c>
      <c r="Y64" s="21">
        <v>7.4890000000000008</v>
      </c>
      <c r="Z64" s="20">
        <v>32.799999999999997</v>
      </c>
      <c r="AA64" s="20">
        <v>7.2</v>
      </c>
      <c r="AB64" s="20">
        <v>11.7</v>
      </c>
      <c r="AC64" s="20">
        <v>7.9</v>
      </c>
      <c r="AD64" s="20">
        <v>7</v>
      </c>
      <c r="AE64" s="20">
        <v>2.2999999999999998</v>
      </c>
      <c r="AF64" s="20">
        <v>5.8</v>
      </c>
      <c r="AG64" s="20">
        <v>0</v>
      </c>
      <c r="AH64" s="20">
        <v>0</v>
      </c>
      <c r="AI64" s="20">
        <v>8.6</v>
      </c>
      <c r="AJ64" s="20">
        <v>0.6</v>
      </c>
      <c r="AK64" s="20">
        <v>0.4</v>
      </c>
      <c r="AL64" s="20">
        <v>1.8</v>
      </c>
      <c r="AM64" s="20">
        <v>0.3</v>
      </c>
      <c r="AN64" s="20">
        <v>0.42137000000000002</v>
      </c>
      <c r="AO64" s="20">
        <v>0</v>
      </c>
      <c r="AP64" s="20">
        <v>1.169</v>
      </c>
      <c r="AQ64" s="20">
        <v>13.542</v>
      </c>
      <c r="AR64" s="22">
        <f t="shared" si="1"/>
        <v>495.51737000000008</v>
      </c>
    </row>
    <row r="65" spans="1:44" s="14" customFormat="1" hidden="1" outlineLevel="1" x14ac:dyDescent="0.3">
      <c r="A65" s="44">
        <v>43252</v>
      </c>
      <c r="B65" s="28">
        <f t="shared" si="9"/>
        <v>50.254000000000005</v>
      </c>
      <c r="C65" s="29">
        <v>20.887</v>
      </c>
      <c r="D65" s="20">
        <v>29.367000000000001</v>
      </c>
      <c r="E65" s="20">
        <v>17.399999999999999</v>
      </c>
      <c r="F65" s="20">
        <v>3.3</v>
      </c>
      <c r="G65" s="20">
        <v>17.3</v>
      </c>
      <c r="H65" s="20">
        <v>35.700000000000003</v>
      </c>
      <c r="I65" s="20">
        <v>8.4</v>
      </c>
      <c r="J65" s="23">
        <v>132.35400000000001</v>
      </c>
      <c r="K65" s="20">
        <v>101.7</v>
      </c>
      <c r="L65" s="20">
        <v>17.2</v>
      </c>
      <c r="M65" s="20">
        <v>6.2</v>
      </c>
      <c r="N65" s="20">
        <v>5.7</v>
      </c>
      <c r="O65" s="20">
        <v>41.4</v>
      </c>
      <c r="P65" s="20">
        <v>32.590000000000003</v>
      </c>
      <c r="Q65" s="20">
        <v>4.1539999999999999</v>
      </c>
      <c r="R65" s="21">
        <v>36.744</v>
      </c>
      <c r="S65" s="20">
        <v>7.7</v>
      </c>
      <c r="T65" s="20">
        <v>8.1999999999999993</v>
      </c>
      <c r="U65" s="20">
        <v>11.8</v>
      </c>
      <c r="V65" s="20">
        <v>2.4</v>
      </c>
      <c r="W65" s="20">
        <v>3.5979999999999999</v>
      </c>
      <c r="X65" s="20">
        <v>3.327</v>
      </c>
      <c r="Y65" s="21">
        <v>6.9249999999999998</v>
      </c>
      <c r="Z65" s="20">
        <v>34.1</v>
      </c>
      <c r="AA65" s="20">
        <v>7.3</v>
      </c>
      <c r="AB65" s="20">
        <v>11.2</v>
      </c>
      <c r="AC65" s="20">
        <v>7.1</v>
      </c>
      <c r="AD65" s="20">
        <v>5.8</v>
      </c>
      <c r="AE65" s="20">
        <v>2.2000000000000002</v>
      </c>
      <c r="AF65" s="20">
        <v>4.5999999999999996</v>
      </c>
      <c r="AG65" s="20">
        <v>0</v>
      </c>
      <c r="AH65" s="20">
        <v>0</v>
      </c>
      <c r="AI65" s="20">
        <v>8.1999999999999993</v>
      </c>
      <c r="AJ65" s="20">
        <v>1.2</v>
      </c>
      <c r="AK65" s="20">
        <v>0.5</v>
      </c>
      <c r="AL65" s="20">
        <v>1.9</v>
      </c>
      <c r="AM65" s="20">
        <v>0.4</v>
      </c>
      <c r="AN65" s="20">
        <v>0.39799000000000001</v>
      </c>
      <c r="AO65" s="20">
        <v>0</v>
      </c>
      <c r="AP65" s="20">
        <v>1.1399999999999999</v>
      </c>
      <c r="AQ65" s="20">
        <v>7.9989999999999997</v>
      </c>
      <c r="AR65" s="22">
        <f t="shared" si="1"/>
        <v>472.35998999999998</v>
      </c>
    </row>
    <row r="66" spans="1:44" s="14" customFormat="1" hidden="1" outlineLevel="1" x14ac:dyDescent="0.3">
      <c r="A66" s="44">
        <v>43282</v>
      </c>
      <c r="B66" s="28">
        <f t="shared" si="9"/>
        <v>44.921999999999997</v>
      </c>
      <c r="C66" s="29">
        <v>16.620999999999999</v>
      </c>
      <c r="D66" s="20">
        <v>28.300999999999998</v>
      </c>
      <c r="E66" s="20">
        <v>15.6</v>
      </c>
      <c r="F66" s="20">
        <v>4</v>
      </c>
      <c r="G66" s="20">
        <v>16.100000000000001</v>
      </c>
      <c r="H66" s="20">
        <v>42.6</v>
      </c>
      <c r="I66" s="20">
        <v>9.3000000000000007</v>
      </c>
      <c r="J66" s="23">
        <v>132.52199999999999</v>
      </c>
      <c r="K66" s="20">
        <v>110.9</v>
      </c>
      <c r="L66" s="20">
        <v>12.6</v>
      </c>
      <c r="M66" s="20">
        <v>5.0999999999999996</v>
      </c>
      <c r="N66" s="20">
        <v>6.3</v>
      </c>
      <c r="O66" s="20">
        <v>43.2</v>
      </c>
      <c r="P66" s="20">
        <v>33.942999999999998</v>
      </c>
      <c r="Q66" s="20">
        <v>5.218</v>
      </c>
      <c r="R66" s="21">
        <v>39.161000000000001</v>
      </c>
      <c r="S66" s="20">
        <v>7.7</v>
      </c>
      <c r="T66" s="20">
        <v>7.4</v>
      </c>
      <c r="U66" s="20">
        <v>11</v>
      </c>
      <c r="V66" s="20">
        <v>2.8</v>
      </c>
      <c r="W66" s="20">
        <v>3.9260000000000002</v>
      </c>
      <c r="X66" s="20">
        <v>3.601</v>
      </c>
      <c r="Y66" s="21">
        <v>7.5270000000000001</v>
      </c>
      <c r="Z66" s="20">
        <v>35.200000000000003</v>
      </c>
      <c r="AA66" s="20">
        <v>8</v>
      </c>
      <c r="AB66" s="20">
        <v>8.6</v>
      </c>
      <c r="AC66" s="20">
        <v>7.1</v>
      </c>
      <c r="AD66" s="20">
        <v>5</v>
      </c>
      <c r="AE66" s="20">
        <v>2.4</v>
      </c>
      <c r="AF66" s="20">
        <v>5.4</v>
      </c>
      <c r="AG66" s="20">
        <v>0</v>
      </c>
      <c r="AH66" s="20">
        <v>0</v>
      </c>
      <c r="AI66" s="20">
        <v>7.9</v>
      </c>
      <c r="AJ66" s="20">
        <v>1.1000000000000001</v>
      </c>
      <c r="AK66" s="20">
        <v>0.5</v>
      </c>
      <c r="AL66" s="20">
        <v>1.8</v>
      </c>
      <c r="AM66" s="20">
        <v>0.3</v>
      </c>
      <c r="AN66" s="20">
        <v>0.36362099999999997</v>
      </c>
      <c r="AO66" s="20">
        <v>0</v>
      </c>
      <c r="AP66" s="20">
        <v>1.264</v>
      </c>
      <c r="AQ66" s="20">
        <v>10.832000000000001</v>
      </c>
      <c r="AR66" s="22">
        <f t="shared" si="1"/>
        <v>481.96962100000002</v>
      </c>
    </row>
    <row r="67" spans="1:44" s="14" customFormat="1" hidden="1" outlineLevel="1" x14ac:dyDescent="0.3">
      <c r="A67" s="44">
        <v>43313</v>
      </c>
      <c r="B67" s="28">
        <f t="shared" si="9"/>
        <v>47.177</v>
      </c>
      <c r="C67" s="29">
        <v>21.721</v>
      </c>
      <c r="D67" s="20">
        <v>25.456</v>
      </c>
      <c r="E67" s="20">
        <v>14</v>
      </c>
      <c r="F67" s="20">
        <v>3.7</v>
      </c>
      <c r="G67" s="20">
        <v>14.7</v>
      </c>
      <c r="H67" s="20">
        <v>41.5</v>
      </c>
      <c r="I67" s="20">
        <v>9.1</v>
      </c>
      <c r="J67" s="23">
        <v>130.17699999999999</v>
      </c>
      <c r="K67" s="20">
        <v>84.6</v>
      </c>
      <c r="L67" s="20">
        <v>7.1</v>
      </c>
      <c r="M67" s="20">
        <v>5.8</v>
      </c>
      <c r="N67" s="20">
        <v>6.5</v>
      </c>
      <c r="O67" s="20">
        <v>45.4</v>
      </c>
      <c r="P67" s="20">
        <v>32.988</v>
      </c>
      <c r="Q67" s="20">
        <v>4.6020000000000003</v>
      </c>
      <c r="R67" s="21">
        <v>37.590000000000003</v>
      </c>
      <c r="S67" s="20">
        <v>7.7</v>
      </c>
      <c r="T67" s="20">
        <v>9.8000000000000007</v>
      </c>
      <c r="U67" s="20">
        <v>12.9</v>
      </c>
      <c r="V67" s="20">
        <v>2.6</v>
      </c>
      <c r="W67" s="20">
        <v>3.7050000000000001</v>
      </c>
      <c r="X67" s="20">
        <v>3.5550000000000002</v>
      </c>
      <c r="Y67" s="21">
        <v>7.26</v>
      </c>
      <c r="Z67" s="20">
        <v>35.700000000000003</v>
      </c>
      <c r="AA67" s="20">
        <v>8.6</v>
      </c>
      <c r="AB67" s="20">
        <v>11</v>
      </c>
      <c r="AC67" s="20">
        <v>7.6</v>
      </c>
      <c r="AD67" s="20">
        <v>6.9</v>
      </c>
      <c r="AE67" s="20">
        <v>2.2000000000000002</v>
      </c>
      <c r="AF67" s="20">
        <v>5.0999999999999996</v>
      </c>
      <c r="AG67" s="20">
        <v>0</v>
      </c>
      <c r="AH67" s="20">
        <v>0</v>
      </c>
      <c r="AI67" s="20">
        <v>8.8000000000000007</v>
      </c>
      <c r="AJ67" s="20">
        <v>1.2</v>
      </c>
      <c r="AK67" s="20">
        <v>0.5</v>
      </c>
      <c r="AL67" s="20">
        <v>1.9</v>
      </c>
      <c r="AM67" s="20">
        <v>0.4</v>
      </c>
      <c r="AN67" s="20">
        <v>0.479209</v>
      </c>
      <c r="AO67" s="20">
        <v>0</v>
      </c>
      <c r="AP67" s="20">
        <v>1.3009999999999999</v>
      </c>
      <c r="AQ67" s="20">
        <v>12.834999999999999</v>
      </c>
      <c r="AR67" s="22">
        <f t="shared" si="1"/>
        <v>461.94220899999993</v>
      </c>
    </row>
    <row r="68" spans="1:44" s="14" customFormat="1" hidden="1" outlineLevel="1" x14ac:dyDescent="0.3">
      <c r="A68" s="44">
        <v>43344</v>
      </c>
      <c r="B68" s="28">
        <f t="shared" si="9"/>
        <v>45.472000000000001</v>
      </c>
      <c r="C68" s="29">
        <v>23.42</v>
      </c>
      <c r="D68" s="20">
        <v>22.052</v>
      </c>
      <c r="E68" s="20">
        <v>15.6</v>
      </c>
      <c r="F68" s="20">
        <v>3.2</v>
      </c>
      <c r="G68" s="20">
        <v>12</v>
      </c>
      <c r="H68" s="20">
        <v>39.700000000000003</v>
      </c>
      <c r="I68" s="20">
        <v>9</v>
      </c>
      <c r="J68" s="23">
        <v>124.97200000000001</v>
      </c>
      <c r="K68" s="20">
        <v>108.1</v>
      </c>
      <c r="L68" s="20">
        <v>9.5</v>
      </c>
      <c r="M68" s="20">
        <v>3.3</v>
      </c>
      <c r="N68" s="20">
        <v>6.4</v>
      </c>
      <c r="O68" s="20">
        <v>51.1</v>
      </c>
      <c r="P68" s="20">
        <v>28.9</v>
      </c>
      <c r="Q68" s="20">
        <v>4.702</v>
      </c>
      <c r="R68" s="21">
        <v>33.601999999999997</v>
      </c>
      <c r="S68" s="20">
        <v>7.4</v>
      </c>
      <c r="T68" s="20">
        <v>9.1999999999999993</v>
      </c>
      <c r="U68" s="20">
        <v>9.9</v>
      </c>
      <c r="V68" s="20">
        <v>2.4</v>
      </c>
      <c r="W68" s="20">
        <v>3.448</v>
      </c>
      <c r="X68" s="20">
        <v>3.8220000000000001</v>
      </c>
      <c r="Y68" s="21">
        <v>7.27</v>
      </c>
      <c r="Z68" s="20">
        <v>31.2</v>
      </c>
      <c r="AA68" s="20">
        <v>8.6999999999999993</v>
      </c>
      <c r="AB68" s="20">
        <v>16.100000000000001</v>
      </c>
      <c r="AC68" s="20">
        <v>7.5</v>
      </c>
      <c r="AD68" s="20">
        <v>7.2</v>
      </c>
      <c r="AE68" s="20">
        <v>2</v>
      </c>
      <c r="AF68" s="20">
        <v>6.1</v>
      </c>
      <c r="AG68" s="20">
        <v>0</v>
      </c>
      <c r="AH68" s="20">
        <v>0</v>
      </c>
      <c r="AI68" s="20">
        <v>9.4</v>
      </c>
      <c r="AJ68" s="20">
        <v>1.1000000000000001</v>
      </c>
      <c r="AK68" s="20">
        <v>0.5</v>
      </c>
      <c r="AL68" s="20">
        <v>2</v>
      </c>
      <c r="AM68" s="20">
        <v>0.3</v>
      </c>
      <c r="AN68" s="20">
        <v>0.48400599999999999</v>
      </c>
      <c r="AO68" s="20">
        <v>0</v>
      </c>
      <c r="AP68" s="20">
        <v>1.252</v>
      </c>
      <c r="AQ68" s="20">
        <v>11.332000000000001</v>
      </c>
      <c r="AR68" s="22">
        <f t="shared" si="1"/>
        <v>478.31200599999994</v>
      </c>
    </row>
    <row r="69" spans="1:44" s="14" customFormat="1" hidden="1" outlineLevel="1" x14ac:dyDescent="0.3">
      <c r="A69" s="44">
        <v>43374</v>
      </c>
      <c r="B69" s="28">
        <f t="shared" si="9"/>
        <v>50.055999999999997</v>
      </c>
      <c r="C69" s="29">
        <v>25.448</v>
      </c>
      <c r="D69" s="20">
        <v>24.608000000000001</v>
      </c>
      <c r="E69" s="20">
        <v>16.7</v>
      </c>
      <c r="F69" s="20">
        <v>5.9</v>
      </c>
      <c r="G69" s="20">
        <v>17.3</v>
      </c>
      <c r="H69" s="20">
        <v>39</v>
      </c>
      <c r="I69" s="20">
        <v>10.199999999999999</v>
      </c>
      <c r="J69" s="23">
        <v>139.15600000000001</v>
      </c>
      <c r="K69" s="20">
        <v>95.9</v>
      </c>
      <c r="L69" s="20">
        <v>6.1</v>
      </c>
      <c r="M69" s="20">
        <v>6.8</v>
      </c>
      <c r="N69" s="20">
        <v>6.5</v>
      </c>
      <c r="O69" s="20">
        <v>49.1</v>
      </c>
      <c r="P69" s="20">
        <v>33.259</v>
      </c>
      <c r="Q69" s="20">
        <v>5.4420000000000002</v>
      </c>
      <c r="R69" s="21">
        <v>38.701000000000001</v>
      </c>
      <c r="S69" s="20">
        <v>7.6</v>
      </c>
      <c r="T69" s="20">
        <v>8.6999999999999993</v>
      </c>
      <c r="U69" s="20">
        <v>11.9</v>
      </c>
      <c r="V69" s="20">
        <v>2.5</v>
      </c>
      <c r="W69" s="20">
        <v>3.5579999999999998</v>
      </c>
      <c r="X69" s="20">
        <v>4.1470000000000002</v>
      </c>
      <c r="Y69" s="21">
        <v>7.7050000000000001</v>
      </c>
      <c r="Z69" s="20">
        <v>32.6</v>
      </c>
      <c r="AA69" s="20">
        <v>9.1</v>
      </c>
      <c r="AB69" s="20">
        <v>16.7</v>
      </c>
      <c r="AC69" s="20">
        <v>8.1</v>
      </c>
      <c r="AD69" s="20">
        <v>6.7</v>
      </c>
      <c r="AE69" s="20">
        <v>2.1</v>
      </c>
      <c r="AF69" s="20">
        <v>5.7</v>
      </c>
      <c r="AG69" s="20">
        <v>0</v>
      </c>
      <c r="AH69" s="20">
        <v>0</v>
      </c>
      <c r="AI69" s="20">
        <v>10.6</v>
      </c>
      <c r="AJ69" s="20">
        <v>1.1000000000000001</v>
      </c>
      <c r="AK69" s="20">
        <v>0.5</v>
      </c>
      <c r="AL69" s="20">
        <v>1.9</v>
      </c>
      <c r="AM69" s="20">
        <v>0.3</v>
      </c>
      <c r="AN69" s="20">
        <v>0.50237500000000002</v>
      </c>
      <c r="AO69" s="20">
        <v>0</v>
      </c>
      <c r="AP69" s="20">
        <v>1.1910000000000001</v>
      </c>
      <c r="AQ69" s="20">
        <v>12.571999999999999</v>
      </c>
      <c r="AR69" s="22">
        <f t="shared" si="1"/>
        <v>490.32737500000007</v>
      </c>
    </row>
    <row r="70" spans="1:44" s="14" customFormat="1" hidden="1" outlineLevel="1" x14ac:dyDescent="0.3">
      <c r="A70" s="44">
        <v>43405</v>
      </c>
      <c r="B70" s="28">
        <f t="shared" si="9"/>
        <v>70.882000000000005</v>
      </c>
      <c r="C70" s="29">
        <v>42.976999999999997</v>
      </c>
      <c r="D70" s="20">
        <v>27.905000000000001</v>
      </c>
      <c r="E70" s="20">
        <v>15.7</v>
      </c>
      <c r="F70" s="20">
        <v>6.4</v>
      </c>
      <c r="G70" s="20">
        <v>18.5</v>
      </c>
      <c r="H70" s="20">
        <v>42.8</v>
      </c>
      <c r="I70" s="20">
        <v>9</v>
      </c>
      <c r="J70" s="23">
        <v>163.28200000000001</v>
      </c>
      <c r="K70" s="20">
        <v>104.8</v>
      </c>
      <c r="L70" s="20">
        <v>17.899999999999999</v>
      </c>
      <c r="M70" s="20">
        <v>6.4</v>
      </c>
      <c r="N70" s="20">
        <v>6.2</v>
      </c>
      <c r="O70" s="20">
        <v>51.7</v>
      </c>
      <c r="P70" s="20">
        <v>31.323</v>
      </c>
      <c r="Q70" s="20">
        <v>5.0149999999999997</v>
      </c>
      <c r="R70" s="21">
        <v>36.338000000000001</v>
      </c>
      <c r="S70" s="20">
        <v>8.1</v>
      </c>
      <c r="T70" s="20">
        <v>6.7</v>
      </c>
      <c r="U70" s="20">
        <v>12.1</v>
      </c>
      <c r="V70" s="20">
        <v>2.7</v>
      </c>
      <c r="W70" s="20">
        <v>3.6739999999999999</v>
      </c>
      <c r="X70" s="20">
        <v>3.7269999999999999</v>
      </c>
      <c r="Y70" s="21">
        <v>7.4009999999999998</v>
      </c>
      <c r="Z70" s="20">
        <v>33.299999999999997</v>
      </c>
      <c r="AA70" s="20">
        <v>9.6</v>
      </c>
      <c r="AB70" s="20">
        <v>19</v>
      </c>
      <c r="AC70" s="20">
        <v>8</v>
      </c>
      <c r="AD70" s="20">
        <v>6.8</v>
      </c>
      <c r="AE70" s="20">
        <v>1.9</v>
      </c>
      <c r="AF70" s="20">
        <v>6.3</v>
      </c>
      <c r="AG70" s="20">
        <v>0</v>
      </c>
      <c r="AH70" s="20">
        <v>0</v>
      </c>
      <c r="AI70" s="20">
        <v>9.6999999999999993</v>
      </c>
      <c r="AJ70" s="20">
        <v>1</v>
      </c>
      <c r="AK70" s="20">
        <v>0.5</v>
      </c>
      <c r="AL70" s="20">
        <v>1.9</v>
      </c>
      <c r="AM70" s="20">
        <v>0.1</v>
      </c>
      <c r="AN70" s="20">
        <v>8.0364999999999992E-2</v>
      </c>
      <c r="AO70" s="20">
        <v>0</v>
      </c>
      <c r="AP70" s="20">
        <v>1.331</v>
      </c>
      <c r="AQ70" s="20">
        <v>13.756</v>
      </c>
      <c r="AR70" s="22">
        <f t="shared" si="1"/>
        <v>536.88836499999991</v>
      </c>
    </row>
    <row r="71" spans="1:44" s="14" customFormat="1" hidden="1" outlineLevel="1" x14ac:dyDescent="0.3">
      <c r="A71" s="44">
        <v>43435</v>
      </c>
      <c r="B71" s="28">
        <f t="shared" si="9"/>
        <v>80.03</v>
      </c>
      <c r="C71" s="29">
        <v>54.039000000000001</v>
      </c>
      <c r="D71" s="20">
        <v>25.991</v>
      </c>
      <c r="E71" s="20">
        <v>20.9</v>
      </c>
      <c r="F71" s="20">
        <v>11.6</v>
      </c>
      <c r="G71" s="20">
        <v>15.9</v>
      </c>
      <c r="H71" s="20">
        <v>34.799999999999997</v>
      </c>
      <c r="I71" s="20">
        <v>10.8</v>
      </c>
      <c r="J71" s="23">
        <v>174.02999999999997</v>
      </c>
      <c r="K71" s="20">
        <v>91.1</v>
      </c>
      <c r="L71" s="20">
        <v>18.399999999999999</v>
      </c>
      <c r="M71" s="20">
        <v>6.2</v>
      </c>
      <c r="N71" s="20">
        <v>7.1</v>
      </c>
      <c r="O71" s="20">
        <v>56.6</v>
      </c>
      <c r="P71" s="20">
        <v>34.399000000000001</v>
      </c>
      <c r="Q71" s="20">
        <v>4.8600000000000003</v>
      </c>
      <c r="R71" s="21">
        <v>39.259</v>
      </c>
      <c r="S71" s="20">
        <v>7</v>
      </c>
      <c r="T71" s="20">
        <v>8.5</v>
      </c>
      <c r="U71" s="20">
        <v>13.2</v>
      </c>
      <c r="V71" s="20">
        <v>2.7</v>
      </c>
      <c r="W71" s="20">
        <v>3.2719999999999998</v>
      </c>
      <c r="X71" s="20">
        <v>3.5640000000000001</v>
      </c>
      <c r="Y71" s="21">
        <v>6.8360000000000003</v>
      </c>
      <c r="Z71" s="20">
        <v>37.6</v>
      </c>
      <c r="AA71" s="20">
        <v>7.9</v>
      </c>
      <c r="AB71" s="20">
        <v>24.4</v>
      </c>
      <c r="AC71" s="20">
        <v>10.1</v>
      </c>
      <c r="AD71" s="20">
        <v>6.6</v>
      </c>
      <c r="AE71" s="20">
        <v>2</v>
      </c>
      <c r="AF71" s="20">
        <v>5.9</v>
      </c>
      <c r="AG71" s="20">
        <v>0</v>
      </c>
      <c r="AH71" s="20">
        <v>0</v>
      </c>
      <c r="AI71" s="20">
        <v>8.8000000000000007</v>
      </c>
      <c r="AJ71" s="20">
        <v>1.2</v>
      </c>
      <c r="AK71" s="20">
        <v>0.6</v>
      </c>
      <c r="AL71" s="20">
        <v>1.8</v>
      </c>
      <c r="AM71" s="20">
        <v>0.4</v>
      </c>
      <c r="AN71" s="20">
        <v>0.50086799999999998</v>
      </c>
      <c r="AO71" s="20">
        <v>0</v>
      </c>
      <c r="AP71" s="20">
        <v>1.2270000000000001</v>
      </c>
      <c r="AQ71" s="20">
        <v>10.135475000000001</v>
      </c>
      <c r="AR71" s="22">
        <f t="shared" si="1"/>
        <v>550.0883429999999</v>
      </c>
    </row>
    <row r="72" spans="1:44" s="14" customFormat="1" collapsed="1" x14ac:dyDescent="0.3">
      <c r="A72" s="45" t="s">
        <v>37</v>
      </c>
      <c r="B72" s="24">
        <f>SUM(B60:B71)</f>
        <v>653.41199999999992</v>
      </c>
      <c r="C72" s="24">
        <f>SUM(C60:C71)</f>
        <v>320.745</v>
      </c>
      <c r="D72" s="24">
        <f t="shared" ref="D72:AR72" si="10">SUM(D60:D71)</f>
        <v>332.66699999999992</v>
      </c>
      <c r="E72" s="24">
        <f t="shared" si="10"/>
        <v>195.49999999999997</v>
      </c>
      <c r="F72" s="24">
        <f t="shared" si="10"/>
        <v>60.8</v>
      </c>
      <c r="G72" s="24">
        <f t="shared" si="10"/>
        <v>195.5</v>
      </c>
      <c r="H72" s="24">
        <f t="shared" si="10"/>
        <v>465</v>
      </c>
      <c r="I72" s="24">
        <f t="shared" si="10"/>
        <v>107.3</v>
      </c>
      <c r="J72" s="25">
        <f t="shared" si="10"/>
        <v>1677.5119999999999</v>
      </c>
      <c r="K72" s="24">
        <f t="shared" si="10"/>
        <v>1242.7</v>
      </c>
      <c r="L72" s="24">
        <f>SUM(L60:L71)</f>
        <v>176.4</v>
      </c>
      <c r="M72" s="24">
        <f>SUM(M60:M71)</f>
        <v>66.199999999999989</v>
      </c>
      <c r="N72" s="24">
        <f>SUM(N60:N71)</f>
        <v>72.699999999999989</v>
      </c>
      <c r="O72" s="24">
        <f t="shared" si="10"/>
        <v>559.19999999999993</v>
      </c>
      <c r="P72" s="24">
        <f t="shared" si="10"/>
        <v>369.53799999999995</v>
      </c>
      <c r="Q72" s="24">
        <f t="shared" si="10"/>
        <v>52.708999999999996</v>
      </c>
      <c r="R72" s="26">
        <f t="shared" si="10"/>
        <v>422.24700000000001</v>
      </c>
      <c r="S72" s="24">
        <f t="shared" si="10"/>
        <v>91.3</v>
      </c>
      <c r="T72" s="24">
        <f t="shared" si="10"/>
        <v>101.7</v>
      </c>
      <c r="U72" s="24">
        <f>SUM(U60:U71)</f>
        <v>136.5</v>
      </c>
      <c r="V72" s="24">
        <f>SUM(V60:V71)</f>
        <v>28.299999999999997</v>
      </c>
      <c r="W72" s="24">
        <f t="shared" si="10"/>
        <v>41.725999999999999</v>
      </c>
      <c r="X72" s="24">
        <f t="shared" si="10"/>
        <v>41.771999999999998</v>
      </c>
      <c r="Y72" s="26">
        <f t="shared" si="10"/>
        <v>83.49799999999999</v>
      </c>
      <c r="Z72" s="24">
        <f>SUM(Z60:Z71)</f>
        <v>370.50000000000006</v>
      </c>
      <c r="AA72" s="24">
        <f t="shared" si="10"/>
        <v>94.499999999999986</v>
      </c>
      <c r="AB72" s="24">
        <f>SUM(AB60:AB71)</f>
        <v>155.4</v>
      </c>
      <c r="AC72" s="24">
        <f t="shared" si="10"/>
        <v>92.6</v>
      </c>
      <c r="AD72" s="24">
        <f>SUM(AD60:AD71)</f>
        <v>72.2</v>
      </c>
      <c r="AE72" s="24">
        <f t="shared" si="10"/>
        <v>25.5</v>
      </c>
      <c r="AF72" s="24">
        <f>SUM(AF60:AF71)</f>
        <v>67.2</v>
      </c>
      <c r="AG72" s="24">
        <f t="shared" si="10"/>
        <v>0</v>
      </c>
      <c r="AH72" s="24">
        <f>SUM(AH60:AH71)</f>
        <v>0</v>
      </c>
      <c r="AI72" s="24">
        <f t="shared" si="10"/>
        <v>101.9</v>
      </c>
      <c r="AJ72" s="24">
        <f t="shared" si="10"/>
        <v>12.2</v>
      </c>
      <c r="AK72" s="24">
        <f t="shared" si="10"/>
        <v>5.8999999999999995</v>
      </c>
      <c r="AL72" s="24">
        <f t="shared" si="10"/>
        <v>20.099999999999998</v>
      </c>
      <c r="AM72" s="24">
        <f t="shared" si="10"/>
        <v>3.7999999999999994</v>
      </c>
      <c r="AN72" s="24">
        <f t="shared" si="10"/>
        <v>4.6359269999999988</v>
      </c>
      <c r="AO72" s="24">
        <f t="shared" si="10"/>
        <v>0</v>
      </c>
      <c r="AP72" s="24">
        <f t="shared" si="10"/>
        <v>14.036000000000001</v>
      </c>
      <c r="AQ72" s="24">
        <v>132.91647499999999</v>
      </c>
      <c r="AR72" s="27">
        <f t="shared" si="10"/>
        <v>5831.6454020000001</v>
      </c>
    </row>
    <row r="73" spans="1:44" s="14" customFormat="1" hidden="1" outlineLevel="1" x14ac:dyDescent="0.3">
      <c r="A73" s="44">
        <v>43466</v>
      </c>
      <c r="B73" s="28">
        <f t="shared" ref="B73:B84" si="11">C73+D73</f>
        <v>50.313000000000002</v>
      </c>
      <c r="C73" s="29">
        <v>28.231000000000002</v>
      </c>
      <c r="D73" s="20">
        <v>22.082000000000001</v>
      </c>
      <c r="E73" s="20">
        <v>6.9509999999999996</v>
      </c>
      <c r="F73" s="20">
        <v>4.1760000000000002</v>
      </c>
      <c r="G73" s="20">
        <v>16.745999999999999</v>
      </c>
      <c r="H73" s="20">
        <v>32.994</v>
      </c>
      <c r="I73" s="20">
        <v>6.0529999999999999</v>
      </c>
      <c r="J73" s="23">
        <v>117.233</v>
      </c>
      <c r="K73" s="20">
        <v>91.844999999999999</v>
      </c>
      <c r="L73" s="20">
        <v>18.2</v>
      </c>
      <c r="M73" s="20">
        <v>3.0070000000000001</v>
      </c>
      <c r="N73" s="20">
        <v>6.8390000000000004</v>
      </c>
      <c r="O73" s="20">
        <v>44.49</v>
      </c>
      <c r="P73" s="20">
        <v>30.231999999999999</v>
      </c>
      <c r="Q73" s="20">
        <v>4.3220000000000001</v>
      </c>
      <c r="R73" s="21">
        <v>34.554000000000002</v>
      </c>
      <c r="S73" s="20">
        <v>6.3529999999999998</v>
      </c>
      <c r="T73" s="20">
        <v>7.8</v>
      </c>
      <c r="U73" s="20">
        <v>11.887</v>
      </c>
      <c r="V73" s="20">
        <v>2.601</v>
      </c>
      <c r="W73" s="20">
        <v>3.31</v>
      </c>
      <c r="X73" s="20">
        <v>3.5659999999999998</v>
      </c>
      <c r="Y73" s="21">
        <v>6.8759999999999994</v>
      </c>
      <c r="Z73" s="20">
        <v>30.454999999999998</v>
      </c>
      <c r="AA73" s="20">
        <v>8.3019999999999996</v>
      </c>
      <c r="AB73" s="20">
        <v>16.600000000000001</v>
      </c>
      <c r="AC73" s="20">
        <v>9.1</v>
      </c>
      <c r="AD73" s="20">
        <v>6</v>
      </c>
      <c r="AE73" s="20">
        <v>2.149</v>
      </c>
      <c r="AF73" s="20">
        <v>4.2</v>
      </c>
      <c r="AG73" s="20">
        <v>0</v>
      </c>
      <c r="AH73" s="20">
        <v>0</v>
      </c>
      <c r="AI73" s="20">
        <v>9.5570000000000004</v>
      </c>
      <c r="AJ73" s="20">
        <v>1</v>
      </c>
      <c r="AK73" s="20">
        <v>0.6</v>
      </c>
      <c r="AL73" s="20">
        <v>1.7929999999999999</v>
      </c>
      <c r="AM73" s="20">
        <v>0.33800000000000002</v>
      </c>
      <c r="AN73" s="20">
        <v>0.42943999999999999</v>
      </c>
      <c r="AO73" s="20">
        <v>0</v>
      </c>
      <c r="AP73" s="20">
        <v>1.1850000000000001</v>
      </c>
      <c r="AQ73" s="20">
        <v>13.720750000000001</v>
      </c>
      <c r="AR73" s="22">
        <f t="shared" si="1"/>
        <v>457.11419000000012</v>
      </c>
    </row>
    <row r="74" spans="1:44" s="14" customFormat="1" hidden="1" outlineLevel="1" x14ac:dyDescent="0.3">
      <c r="A74" s="44">
        <v>43497</v>
      </c>
      <c r="B74" s="28">
        <f t="shared" si="11"/>
        <v>39.823</v>
      </c>
      <c r="C74" s="29">
        <v>22.038</v>
      </c>
      <c r="D74" s="20">
        <v>17.785</v>
      </c>
      <c r="E74" s="20">
        <v>10.645</v>
      </c>
      <c r="F74" s="20">
        <v>2.194</v>
      </c>
      <c r="G74" s="20">
        <v>12.48</v>
      </c>
      <c r="H74" s="20">
        <v>34.619999999999997</v>
      </c>
      <c r="I74" s="20">
        <v>5.8179999999999996</v>
      </c>
      <c r="J74" s="23">
        <v>105.57999999999998</v>
      </c>
      <c r="K74" s="20">
        <v>82.093000000000004</v>
      </c>
      <c r="L74" s="20">
        <v>12.6</v>
      </c>
      <c r="M74" s="20">
        <v>6.6529999999999996</v>
      </c>
      <c r="N74" s="20">
        <v>6.1619999999999999</v>
      </c>
      <c r="O74" s="20">
        <v>38.493000000000002</v>
      </c>
      <c r="P74" s="20">
        <v>32.384999999999998</v>
      </c>
      <c r="Q74" s="20">
        <v>3.78</v>
      </c>
      <c r="R74" s="21">
        <v>36.164999999999999</v>
      </c>
      <c r="S74" s="20">
        <v>4.6989999999999998</v>
      </c>
      <c r="T74" s="20">
        <v>6.9</v>
      </c>
      <c r="U74" s="20">
        <v>10.178000000000001</v>
      </c>
      <c r="V74" s="20">
        <v>2.335</v>
      </c>
      <c r="W74" s="20">
        <v>2.6379999999999999</v>
      </c>
      <c r="X74" s="20">
        <v>3.2919999999999998</v>
      </c>
      <c r="Y74" s="21">
        <v>5.93</v>
      </c>
      <c r="Z74" s="20">
        <v>29.414000000000001</v>
      </c>
      <c r="AA74" s="20">
        <v>8.4269999999999996</v>
      </c>
      <c r="AB74" s="20">
        <v>12.4</v>
      </c>
      <c r="AC74" s="20">
        <v>7.4</v>
      </c>
      <c r="AD74" s="20">
        <v>5.0999999999999996</v>
      </c>
      <c r="AE74" s="20">
        <v>1.37</v>
      </c>
      <c r="AF74" s="20">
        <v>5.0999999999999996</v>
      </c>
      <c r="AG74" s="20">
        <v>0.20027300000000001</v>
      </c>
      <c r="AH74" s="20">
        <v>0</v>
      </c>
      <c r="AI74" s="20">
        <v>9.1340000000000003</v>
      </c>
      <c r="AJ74" s="20">
        <v>0.9</v>
      </c>
      <c r="AK74" s="20">
        <v>0.6</v>
      </c>
      <c r="AL74" s="20">
        <v>1.601</v>
      </c>
      <c r="AM74" s="20">
        <v>0.54700000000000004</v>
      </c>
      <c r="AN74" s="20">
        <v>0.419485</v>
      </c>
      <c r="AO74" s="20">
        <v>0</v>
      </c>
      <c r="AP74" s="20">
        <v>1.272</v>
      </c>
      <c r="AQ74" s="20">
        <v>13.483000000000001</v>
      </c>
      <c r="AR74" s="22">
        <f t="shared" ref="AR74:AR84" si="12">SUM(E74:I74,B74,K74:Q74,S74:X74,Z74:AQ74)</f>
        <v>415.15575799999993</v>
      </c>
    </row>
    <row r="75" spans="1:44" s="14" customFormat="1" hidden="1" outlineLevel="1" x14ac:dyDescent="0.3">
      <c r="A75" s="44">
        <v>43525</v>
      </c>
      <c r="B75" s="28">
        <f t="shared" si="11"/>
        <v>53.176000000000002</v>
      </c>
      <c r="C75" s="29">
        <v>33.387</v>
      </c>
      <c r="D75" s="20">
        <v>19.789000000000001</v>
      </c>
      <c r="E75" s="20">
        <v>14.875</v>
      </c>
      <c r="F75" s="20">
        <v>1.7270000000000001</v>
      </c>
      <c r="G75" s="20">
        <v>16.199000000000002</v>
      </c>
      <c r="H75" s="20">
        <v>26.274000000000001</v>
      </c>
      <c r="I75" s="20">
        <v>6.7160000000000002</v>
      </c>
      <c r="J75" s="23">
        <v>118.967</v>
      </c>
      <c r="K75" s="20">
        <v>100.86799999999999</v>
      </c>
      <c r="L75" s="20">
        <v>18.2</v>
      </c>
      <c r="M75" s="20">
        <v>8.5020000000000007</v>
      </c>
      <c r="N75" s="20">
        <v>6.859</v>
      </c>
      <c r="O75" s="20">
        <v>47.192</v>
      </c>
      <c r="P75" s="20">
        <v>29.100999999999999</v>
      </c>
      <c r="Q75" s="20">
        <v>4.01</v>
      </c>
      <c r="R75" s="21">
        <v>33.110999999999997</v>
      </c>
      <c r="S75" s="20">
        <v>6.1020000000000003</v>
      </c>
      <c r="T75" s="20">
        <v>9.4</v>
      </c>
      <c r="U75" s="20">
        <v>7.7750000000000004</v>
      </c>
      <c r="V75" s="20">
        <v>2.6139999999999999</v>
      </c>
      <c r="W75" s="20">
        <v>3.5529999999999999</v>
      </c>
      <c r="X75" s="20">
        <v>3.722</v>
      </c>
      <c r="Y75" s="21">
        <v>7.2750000000000004</v>
      </c>
      <c r="Z75" s="20">
        <v>31.762</v>
      </c>
      <c r="AA75" s="20">
        <v>8.67</v>
      </c>
      <c r="AB75" s="20">
        <v>15.6</v>
      </c>
      <c r="AC75" s="20">
        <v>7.7</v>
      </c>
      <c r="AD75" s="20">
        <v>6.9</v>
      </c>
      <c r="AE75" s="20">
        <v>2.1019999999999999</v>
      </c>
      <c r="AF75" s="20">
        <v>5.3</v>
      </c>
      <c r="AG75" s="20">
        <v>0.87058000000000002</v>
      </c>
      <c r="AH75" s="20">
        <v>0</v>
      </c>
      <c r="AI75" s="20">
        <v>9.5500000000000007</v>
      </c>
      <c r="AJ75" s="20">
        <v>1.2</v>
      </c>
      <c r="AK75" s="20">
        <v>0.6</v>
      </c>
      <c r="AL75" s="20">
        <v>1.4810000000000001</v>
      </c>
      <c r="AM75" s="20">
        <v>0.47299999999999998</v>
      </c>
      <c r="AN75" s="20">
        <v>0.45949000000000001</v>
      </c>
      <c r="AO75" s="20">
        <v>0</v>
      </c>
      <c r="AP75" s="20">
        <v>1.3120000000000001</v>
      </c>
      <c r="AQ75" s="20">
        <v>12.559553000000001</v>
      </c>
      <c r="AR75" s="22">
        <f t="shared" si="12"/>
        <v>473.4046229999999</v>
      </c>
    </row>
    <row r="76" spans="1:44" s="14" customFormat="1" hidden="1" outlineLevel="1" x14ac:dyDescent="0.3">
      <c r="A76" s="44">
        <v>43556</v>
      </c>
      <c r="B76" s="28">
        <f t="shared" si="11"/>
        <v>49.78</v>
      </c>
      <c r="C76" s="29">
        <v>28.102</v>
      </c>
      <c r="D76" s="20">
        <v>21.678000000000001</v>
      </c>
      <c r="E76" s="20">
        <v>12.257999999999999</v>
      </c>
      <c r="F76" s="20">
        <v>2.7530000000000001</v>
      </c>
      <c r="G76" s="20">
        <v>11.827999999999999</v>
      </c>
      <c r="H76" s="20">
        <v>34.683999999999997</v>
      </c>
      <c r="I76" s="20">
        <v>8.1519999999999992</v>
      </c>
      <c r="J76" s="23">
        <v>119.455</v>
      </c>
      <c r="K76" s="20">
        <v>92.114999999999995</v>
      </c>
      <c r="L76" s="20">
        <v>17.5</v>
      </c>
      <c r="M76" s="20">
        <v>8.1129999999999995</v>
      </c>
      <c r="N76" s="20">
        <v>6.66</v>
      </c>
      <c r="O76" s="20">
        <v>37.052</v>
      </c>
      <c r="P76" s="20">
        <v>30.698</v>
      </c>
      <c r="Q76" s="20">
        <v>4.53</v>
      </c>
      <c r="R76" s="21">
        <v>35.228000000000002</v>
      </c>
      <c r="S76" s="20">
        <v>6.7039999999999997</v>
      </c>
      <c r="T76" s="20">
        <v>8.1</v>
      </c>
      <c r="U76" s="20">
        <v>12.375</v>
      </c>
      <c r="V76" s="20">
        <v>2.3340000000000001</v>
      </c>
      <c r="W76" s="20">
        <v>3.2530000000000001</v>
      </c>
      <c r="X76" s="20">
        <v>3.7650000000000001</v>
      </c>
      <c r="Y76" s="21">
        <v>7.0180000000000007</v>
      </c>
      <c r="Z76" s="20">
        <v>33.313000000000002</v>
      </c>
      <c r="AA76" s="20">
        <v>9.6159999999999997</v>
      </c>
      <c r="AB76" s="20">
        <v>15.3</v>
      </c>
      <c r="AC76" s="20">
        <v>6.4</v>
      </c>
      <c r="AD76" s="20">
        <v>6.8</v>
      </c>
      <c r="AE76" s="20">
        <v>1.887</v>
      </c>
      <c r="AF76" s="20">
        <v>5.7</v>
      </c>
      <c r="AG76" s="20">
        <v>1.001169</v>
      </c>
      <c r="AH76" s="20">
        <v>0</v>
      </c>
      <c r="AI76" s="20">
        <v>8.44</v>
      </c>
      <c r="AJ76" s="20">
        <v>0.8</v>
      </c>
      <c r="AK76" s="20">
        <v>0.6</v>
      </c>
      <c r="AL76" s="20">
        <v>1.6040000000000001</v>
      </c>
      <c r="AM76" s="20">
        <v>0.56699999999999995</v>
      </c>
      <c r="AN76" s="20">
        <v>0.47874</v>
      </c>
      <c r="AO76" s="20">
        <v>0</v>
      </c>
      <c r="AP76" s="20">
        <v>1.3080000000000001</v>
      </c>
      <c r="AQ76" s="20">
        <v>12.201236999999999</v>
      </c>
      <c r="AR76" s="22">
        <f t="shared" si="12"/>
        <v>458.67014599999993</v>
      </c>
    </row>
    <row r="77" spans="1:44" s="14" customFormat="1" hidden="1" outlineLevel="1" x14ac:dyDescent="0.3">
      <c r="A77" s="44">
        <v>43586</v>
      </c>
      <c r="B77" s="28">
        <f t="shared" si="11"/>
        <v>53.292999999999999</v>
      </c>
      <c r="C77" s="29">
        <v>31.376999999999999</v>
      </c>
      <c r="D77" s="20">
        <v>21.916</v>
      </c>
      <c r="E77" s="20">
        <v>13.888999999999999</v>
      </c>
      <c r="F77" s="20">
        <v>2.0779999999999998</v>
      </c>
      <c r="G77" s="20">
        <v>14.055</v>
      </c>
      <c r="H77" s="20">
        <v>38.246000000000002</v>
      </c>
      <c r="I77" s="20">
        <v>8.4480000000000004</v>
      </c>
      <c r="J77" s="23">
        <v>130.00900000000001</v>
      </c>
      <c r="K77" s="20">
        <v>98.914000000000001</v>
      </c>
      <c r="L77" s="20">
        <v>15.2</v>
      </c>
      <c r="M77" s="20">
        <v>8.0210000000000008</v>
      </c>
      <c r="N77" s="20">
        <v>6.9039999999999999</v>
      </c>
      <c r="O77" s="20">
        <v>43.017000000000003</v>
      </c>
      <c r="P77" s="20">
        <v>29.738</v>
      </c>
      <c r="Q77" s="20">
        <v>4.5019999999999998</v>
      </c>
      <c r="R77" s="21">
        <v>34.24</v>
      </c>
      <c r="S77" s="20">
        <v>6.4530000000000003</v>
      </c>
      <c r="T77" s="20">
        <v>9.4</v>
      </c>
      <c r="U77" s="20">
        <v>13.305999999999999</v>
      </c>
      <c r="V77" s="20">
        <v>2.3420000000000001</v>
      </c>
      <c r="W77" s="20">
        <v>3.5840000000000001</v>
      </c>
      <c r="X77" s="20">
        <v>3.2309999999999999</v>
      </c>
      <c r="Y77" s="21">
        <v>6.8149999999999995</v>
      </c>
      <c r="Z77" s="20">
        <v>32.06</v>
      </c>
      <c r="AA77" s="20">
        <v>10.01</v>
      </c>
      <c r="AB77" s="20">
        <v>22</v>
      </c>
      <c r="AC77" s="20">
        <v>6.2</v>
      </c>
      <c r="AD77" s="20">
        <v>6.8</v>
      </c>
      <c r="AE77" s="20">
        <v>1.837</v>
      </c>
      <c r="AF77" s="20">
        <v>5.9</v>
      </c>
      <c r="AG77" s="20">
        <v>0.70011999999999996</v>
      </c>
      <c r="AH77" s="20">
        <v>0</v>
      </c>
      <c r="AI77" s="20">
        <v>9.9710000000000001</v>
      </c>
      <c r="AJ77" s="20">
        <v>1.1000000000000001</v>
      </c>
      <c r="AK77" s="20">
        <v>0.6</v>
      </c>
      <c r="AL77" s="20">
        <v>1.6060000000000001</v>
      </c>
      <c r="AM77" s="20">
        <v>0.42499999999999999</v>
      </c>
      <c r="AN77" s="20">
        <v>0.49950299999999997</v>
      </c>
      <c r="AO77" s="20">
        <v>0</v>
      </c>
      <c r="AP77" s="20">
        <v>1.33</v>
      </c>
      <c r="AQ77" s="20">
        <v>12.181407</v>
      </c>
      <c r="AR77" s="22">
        <f t="shared" si="12"/>
        <v>487.84102999999993</v>
      </c>
    </row>
    <row r="78" spans="1:44" s="14" customFormat="1" hidden="1" outlineLevel="1" x14ac:dyDescent="0.3">
      <c r="A78" s="44">
        <v>43617</v>
      </c>
      <c r="B78" s="28">
        <f t="shared" si="11"/>
        <v>47.167999999999999</v>
      </c>
      <c r="C78" s="29">
        <v>22.997</v>
      </c>
      <c r="D78" s="20">
        <v>24.170999999999999</v>
      </c>
      <c r="E78" s="20">
        <v>13.634</v>
      </c>
      <c r="F78" s="20">
        <v>2.2090000000000001</v>
      </c>
      <c r="G78" s="20">
        <v>12.484</v>
      </c>
      <c r="H78" s="20">
        <v>36.118000000000002</v>
      </c>
      <c r="I78" s="20">
        <v>7.0970000000000004</v>
      </c>
      <c r="J78" s="23">
        <v>118.70999999999998</v>
      </c>
      <c r="K78" s="20">
        <v>104.125</v>
      </c>
      <c r="L78" s="20">
        <v>18</v>
      </c>
      <c r="M78" s="20">
        <v>7.218</v>
      </c>
      <c r="N78" s="20">
        <v>6.4550000000000001</v>
      </c>
      <c r="O78" s="20">
        <v>44.366999999999997</v>
      </c>
      <c r="P78" s="20">
        <v>30.742000000000001</v>
      </c>
      <c r="Q78" s="20">
        <v>4.1689999999999996</v>
      </c>
      <c r="R78" s="21">
        <v>34.911000000000001</v>
      </c>
      <c r="S78" s="20">
        <v>6.1689999999999996</v>
      </c>
      <c r="T78" s="20">
        <v>8</v>
      </c>
      <c r="U78" s="20">
        <v>13.584</v>
      </c>
      <c r="V78" s="20">
        <v>2.363</v>
      </c>
      <c r="W78" s="20">
        <v>3.1760000000000002</v>
      </c>
      <c r="X78" s="20">
        <v>3.5390000000000001</v>
      </c>
      <c r="Y78" s="21">
        <v>6.7149999999999999</v>
      </c>
      <c r="Z78" s="20">
        <v>29.01</v>
      </c>
      <c r="AA78" s="20">
        <v>9.9049999999999994</v>
      </c>
      <c r="AB78" s="20">
        <v>18.2</v>
      </c>
      <c r="AC78" s="20">
        <v>5</v>
      </c>
      <c r="AD78" s="20">
        <v>5.9</v>
      </c>
      <c r="AE78" s="20">
        <v>1.7689999999999999</v>
      </c>
      <c r="AF78" s="20">
        <v>3.8</v>
      </c>
      <c r="AG78" s="20">
        <v>1.04413</v>
      </c>
      <c r="AH78" s="20">
        <v>0</v>
      </c>
      <c r="AI78" s="20">
        <v>9.3520000000000003</v>
      </c>
      <c r="AJ78" s="20">
        <v>1.1000000000000001</v>
      </c>
      <c r="AK78" s="20">
        <v>0.5</v>
      </c>
      <c r="AL78" s="20">
        <v>1.6579999999999999</v>
      </c>
      <c r="AM78" s="20">
        <v>0.434</v>
      </c>
      <c r="AN78" s="20">
        <v>0.49407999999999996</v>
      </c>
      <c r="AO78" s="20">
        <v>0</v>
      </c>
      <c r="AP78" s="20">
        <v>1.2709999999999999</v>
      </c>
      <c r="AQ78" s="20">
        <v>9.6662119999999998</v>
      </c>
      <c r="AR78" s="22">
        <f t="shared" si="12"/>
        <v>469.72042199999993</v>
      </c>
    </row>
    <row r="79" spans="1:44" s="14" customFormat="1" hidden="1" outlineLevel="1" x14ac:dyDescent="0.3">
      <c r="A79" s="44">
        <v>43647</v>
      </c>
      <c r="B79" s="28">
        <f t="shared" si="11"/>
        <v>48.847999999999999</v>
      </c>
      <c r="C79" s="29">
        <v>24.19</v>
      </c>
      <c r="D79" s="20">
        <v>24.658000000000001</v>
      </c>
      <c r="E79" s="20">
        <v>13.609</v>
      </c>
      <c r="F79" s="20">
        <v>3.9609999999999999</v>
      </c>
      <c r="G79" s="20">
        <v>14.04</v>
      </c>
      <c r="H79" s="20">
        <v>39.561</v>
      </c>
      <c r="I79" s="20">
        <v>9.3789999999999996</v>
      </c>
      <c r="J79" s="23">
        <v>129.398</v>
      </c>
      <c r="K79" s="20">
        <v>97.227999999999994</v>
      </c>
      <c r="L79" s="20">
        <v>15.4</v>
      </c>
      <c r="M79" s="20">
        <v>6.3140000000000001</v>
      </c>
      <c r="N79" s="20">
        <v>6.7009999999999996</v>
      </c>
      <c r="O79" s="20">
        <v>47.341000000000001</v>
      </c>
      <c r="P79" s="20">
        <v>29.657</v>
      </c>
      <c r="Q79" s="20">
        <v>4.2140000000000004</v>
      </c>
      <c r="R79" s="21">
        <v>33.871000000000002</v>
      </c>
      <c r="S79" s="20">
        <v>6.7039999999999997</v>
      </c>
      <c r="T79" s="20">
        <v>10.7</v>
      </c>
      <c r="U79" s="20">
        <v>14.347</v>
      </c>
      <c r="V79" s="20">
        <v>2.2509999999999999</v>
      </c>
      <c r="W79" s="20">
        <v>3.835</v>
      </c>
      <c r="X79" s="20">
        <v>3.52</v>
      </c>
      <c r="Y79" s="21">
        <v>7.3550000000000004</v>
      </c>
      <c r="Z79" s="20">
        <v>31.541</v>
      </c>
      <c r="AA79" s="20">
        <v>9.3030000000000008</v>
      </c>
      <c r="AB79" s="20">
        <v>20.8</v>
      </c>
      <c r="AC79" s="20">
        <v>5.7</v>
      </c>
      <c r="AD79" s="20">
        <v>6</v>
      </c>
      <c r="AE79" s="20">
        <v>1.587</v>
      </c>
      <c r="AF79" s="20">
        <v>5.4</v>
      </c>
      <c r="AG79" s="20">
        <v>1.146347</v>
      </c>
      <c r="AH79" s="20">
        <v>0</v>
      </c>
      <c r="AI79" s="20">
        <v>8.8680000000000003</v>
      </c>
      <c r="AJ79" s="20">
        <v>1</v>
      </c>
      <c r="AK79" s="20">
        <v>0.5</v>
      </c>
      <c r="AL79" s="20">
        <v>1.65</v>
      </c>
      <c r="AM79" s="20">
        <v>0.40799999999999997</v>
      </c>
      <c r="AN79" s="20">
        <v>0.45600999999999997</v>
      </c>
      <c r="AO79" s="20">
        <v>0.371</v>
      </c>
      <c r="AP79" s="20">
        <v>1.2609999999999999</v>
      </c>
      <c r="AQ79" s="20">
        <v>13.251566999999998</v>
      </c>
      <c r="AR79" s="22">
        <f t="shared" si="12"/>
        <v>486.8529239999998</v>
      </c>
    </row>
    <row r="80" spans="1:44" s="14" customFormat="1" hidden="1" outlineLevel="1" x14ac:dyDescent="0.3">
      <c r="A80" s="44">
        <v>43678</v>
      </c>
      <c r="B80" s="28">
        <f t="shared" si="11"/>
        <v>63.416000000000004</v>
      </c>
      <c r="C80" s="29">
        <v>40.709000000000003</v>
      </c>
      <c r="D80" s="20">
        <v>22.707000000000001</v>
      </c>
      <c r="E80" s="20">
        <v>12.347</v>
      </c>
      <c r="F80" s="20">
        <v>3.919</v>
      </c>
      <c r="G80" s="20">
        <v>14.93</v>
      </c>
      <c r="H80" s="20">
        <v>40.628</v>
      </c>
      <c r="I80" s="20">
        <v>9.7319999999999993</v>
      </c>
      <c r="J80" s="23">
        <v>144.97200000000001</v>
      </c>
      <c r="K80" s="20">
        <v>103.681</v>
      </c>
      <c r="L80" s="20">
        <v>16.2</v>
      </c>
      <c r="M80" s="20">
        <v>5.6639999999999997</v>
      </c>
      <c r="N80" s="20">
        <v>6.7430000000000003</v>
      </c>
      <c r="O80" s="20">
        <v>50.527999999999999</v>
      </c>
      <c r="P80" s="20">
        <v>26.687999999999999</v>
      </c>
      <c r="Q80" s="20">
        <v>5.0039999999999996</v>
      </c>
      <c r="R80" s="21">
        <v>31.692</v>
      </c>
      <c r="S80" s="20">
        <v>6.8920000000000003</v>
      </c>
      <c r="T80" s="20">
        <v>12.7</v>
      </c>
      <c r="U80" s="20">
        <v>13.151999999999999</v>
      </c>
      <c r="V80" s="20">
        <v>2.6360000000000001</v>
      </c>
      <c r="W80" s="20">
        <v>4.1040000000000001</v>
      </c>
      <c r="X80" s="20">
        <v>3.66</v>
      </c>
      <c r="Y80" s="21">
        <v>7.7640000000000002</v>
      </c>
      <c r="Z80" s="20">
        <v>32.209000000000003</v>
      </c>
      <c r="AA80" s="20">
        <v>9.8759999999999994</v>
      </c>
      <c r="AB80" s="20">
        <v>19.2</v>
      </c>
      <c r="AC80" s="20">
        <v>6.2</v>
      </c>
      <c r="AD80" s="20">
        <v>6</v>
      </c>
      <c r="AE80" s="20">
        <v>1.3420000000000001</v>
      </c>
      <c r="AF80" s="20">
        <v>6.1</v>
      </c>
      <c r="AG80" s="20">
        <v>1.2045160000000001</v>
      </c>
      <c r="AH80" s="20">
        <v>0</v>
      </c>
      <c r="AI80" s="20">
        <v>10.209</v>
      </c>
      <c r="AJ80" s="20">
        <v>1.1000000000000001</v>
      </c>
      <c r="AK80" s="20">
        <v>0.6</v>
      </c>
      <c r="AL80" s="20">
        <v>1.657</v>
      </c>
      <c r="AM80" s="20">
        <v>0.32200000000000001</v>
      </c>
      <c r="AN80" s="20">
        <v>0.49903000000000003</v>
      </c>
      <c r="AO80" s="20">
        <v>0.307</v>
      </c>
      <c r="AP80" s="20">
        <v>1.278</v>
      </c>
      <c r="AQ80" s="20">
        <v>12.636194999999999</v>
      </c>
      <c r="AR80" s="22">
        <f t="shared" si="12"/>
        <v>513.36374100000012</v>
      </c>
    </row>
    <row r="81" spans="1:44" s="14" customFormat="1" hidden="1" outlineLevel="1" x14ac:dyDescent="0.3">
      <c r="A81" s="44">
        <v>43709</v>
      </c>
      <c r="B81" s="28">
        <f t="shared" si="11"/>
        <v>54.183999999999997</v>
      </c>
      <c r="C81" s="29">
        <v>31.081</v>
      </c>
      <c r="D81" s="20">
        <v>23.103000000000002</v>
      </c>
      <c r="E81" s="20">
        <v>12.38</v>
      </c>
      <c r="F81" s="20">
        <v>4.1130000000000004</v>
      </c>
      <c r="G81" s="20">
        <v>13.177</v>
      </c>
      <c r="H81" s="20">
        <v>40.771999999999998</v>
      </c>
      <c r="I81" s="20">
        <v>10.788</v>
      </c>
      <c r="J81" s="23">
        <v>135.41399999999999</v>
      </c>
      <c r="K81" s="20">
        <v>100.1</v>
      </c>
      <c r="L81" s="20">
        <v>15.9</v>
      </c>
      <c r="M81" s="20">
        <v>4.4329999999999998</v>
      </c>
      <c r="N81" s="20">
        <v>6.2990000000000004</v>
      </c>
      <c r="O81" s="20">
        <v>48.759</v>
      </c>
      <c r="P81" s="20">
        <v>24.091999999999999</v>
      </c>
      <c r="Q81" s="20">
        <v>4.7629999999999999</v>
      </c>
      <c r="R81" s="21">
        <v>28.854999999999997</v>
      </c>
      <c r="S81" s="20">
        <v>8.3859999999999992</v>
      </c>
      <c r="T81" s="20">
        <v>8.4</v>
      </c>
      <c r="U81" s="20">
        <v>13.757999999999999</v>
      </c>
      <c r="V81" s="20">
        <v>2.5830000000000002</v>
      </c>
      <c r="W81" s="20">
        <v>3.851</v>
      </c>
      <c r="X81" s="20">
        <v>3.6120000000000001</v>
      </c>
      <c r="Y81" s="21">
        <v>7.4630000000000001</v>
      </c>
      <c r="Z81" s="20">
        <v>30.436</v>
      </c>
      <c r="AA81" s="20">
        <v>9.73</v>
      </c>
      <c r="AB81" s="20">
        <v>16.7</v>
      </c>
      <c r="AC81" s="20">
        <v>4.7</v>
      </c>
      <c r="AD81" s="20">
        <v>6.7</v>
      </c>
      <c r="AE81" s="20">
        <v>1.841</v>
      </c>
      <c r="AF81" s="20">
        <v>5.2</v>
      </c>
      <c r="AG81" s="20">
        <v>1.4013</v>
      </c>
      <c r="AH81" s="20">
        <v>0</v>
      </c>
      <c r="AI81" s="20">
        <v>9.8520000000000003</v>
      </c>
      <c r="AJ81" s="20">
        <v>1.1000000000000001</v>
      </c>
      <c r="AK81" s="20">
        <v>0.6</v>
      </c>
      <c r="AL81" s="20">
        <v>1.276</v>
      </c>
      <c r="AM81" s="20">
        <v>0.35699999999999998</v>
      </c>
      <c r="AN81" s="20">
        <v>0.46639999999999998</v>
      </c>
      <c r="AO81" s="20">
        <v>0.30099999999999999</v>
      </c>
      <c r="AP81" s="20">
        <v>1.2589999999999999</v>
      </c>
      <c r="AQ81" s="20">
        <v>11.561964999999999</v>
      </c>
      <c r="AR81" s="22">
        <f t="shared" si="12"/>
        <v>483.83166499999999</v>
      </c>
    </row>
    <row r="82" spans="1:44" s="14" customFormat="1" hidden="1" outlineLevel="1" x14ac:dyDescent="0.3">
      <c r="A82" s="44">
        <v>43739</v>
      </c>
      <c r="B82" s="28">
        <f t="shared" si="11"/>
        <v>55.919000000000004</v>
      </c>
      <c r="C82" s="29">
        <v>34.700000000000003</v>
      </c>
      <c r="D82" s="20">
        <v>21.219000000000001</v>
      </c>
      <c r="E82" s="20">
        <v>15.143000000000001</v>
      </c>
      <c r="F82" s="20">
        <v>7.859</v>
      </c>
      <c r="G82" s="20">
        <v>12.111000000000001</v>
      </c>
      <c r="H82" s="20">
        <v>41.848999999999997</v>
      </c>
      <c r="I82" s="20">
        <v>10.93</v>
      </c>
      <c r="J82" s="23">
        <v>143.81100000000001</v>
      </c>
      <c r="K82" s="20">
        <v>108.036</v>
      </c>
      <c r="L82" s="20">
        <v>15.1</v>
      </c>
      <c r="M82" s="20">
        <v>4.516</v>
      </c>
      <c r="N82" s="20">
        <v>6.2290000000000001</v>
      </c>
      <c r="O82" s="20">
        <v>50.957000000000001</v>
      </c>
      <c r="P82" s="20">
        <v>28.742999999999999</v>
      </c>
      <c r="Q82" s="20">
        <v>4.242</v>
      </c>
      <c r="R82" s="21">
        <v>32.984999999999999</v>
      </c>
      <c r="S82" s="20">
        <v>8.3659999999999997</v>
      </c>
      <c r="T82" s="20">
        <v>9.4</v>
      </c>
      <c r="U82" s="20">
        <v>10.228</v>
      </c>
      <c r="V82" s="20">
        <v>2.585</v>
      </c>
      <c r="W82" s="20">
        <v>3.9649999999999999</v>
      </c>
      <c r="X82" s="20">
        <v>3.915</v>
      </c>
      <c r="Y82" s="21">
        <v>7.88</v>
      </c>
      <c r="Z82" s="20">
        <v>24.898</v>
      </c>
      <c r="AA82" s="20">
        <v>10.582000000000001</v>
      </c>
      <c r="AB82" s="20">
        <v>10.9</v>
      </c>
      <c r="AC82" s="20">
        <v>7.6</v>
      </c>
      <c r="AD82" s="20">
        <v>3.4</v>
      </c>
      <c r="AE82" s="20">
        <v>1.8069999999999999</v>
      </c>
      <c r="AF82" s="20">
        <v>2.1</v>
      </c>
      <c r="AG82" s="20">
        <v>1.600703</v>
      </c>
      <c r="AH82" s="20">
        <v>0</v>
      </c>
      <c r="AI82" s="20">
        <v>9.1620000000000008</v>
      </c>
      <c r="AJ82" s="20">
        <v>1.2</v>
      </c>
      <c r="AK82" s="20">
        <v>0.7</v>
      </c>
      <c r="AL82" s="20">
        <v>1.468</v>
      </c>
      <c r="AM82" s="20">
        <v>0.317</v>
      </c>
      <c r="AN82" s="20">
        <v>0.51500000000000001</v>
      </c>
      <c r="AO82" s="20">
        <v>0.45400000000000001</v>
      </c>
      <c r="AP82" s="20">
        <v>1.3120000000000001</v>
      </c>
      <c r="AQ82" s="20">
        <v>11.847237999999999</v>
      </c>
      <c r="AR82" s="22">
        <f t="shared" si="12"/>
        <v>489.955941</v>
      </c>
    </row>
    <row r="83" spans="1:44" s="14" customFormat="1" hidden="1" outlineLevel="1" x14ac:dyDescent="0.3">
      <c r="A83" s="44">
        <v>43770</v>
      </c>
      <c r="B83" s="28">
        <f t="shared" si="11"/>
        <v>60.277000000000001</v>
      </c>
      <c r="C83" s="29">
        <v>37.996000000000002</v>
      </c>
      <c r="D83" s="20">
        <v>22.280999999999999</v>
      </c>
      <c r="E83" s="20">
        <v>13.055</v>
      </c>
      <c r="F83" s="20">
        <v>6.1180000000000003</v>
      </c>
      <c r="G83" s="20">
        <v>16.143999999999998</v>
      </c>
      <c r="H83" s="20">
        <v>41.570999999999998</v>
      </c>
      <c r="I83" s="20">
        <v>9.8710000000000004</v>
      </c>
      <c r="J83" s="23">
        <v>147.036</v>
      </c>
      <c r="K83" s="20">
        <v>103.154</v>
      </c>
      <c r="L83" s="20">
        <v>16.399999999999999</v>
      </c>
      <c r="M83" s="20">
        <v>4.351</v>
      </c>
      <c r="N83" s="20">
        <v>6.1779999999999999</v>
      </c>
      <c r="O83" s="20">
        <v>56.703000000000003</v>
      </c>
      <c r="P83" s="20">
        <v>17.25</v>
      </c>
      <c r="Q83" s="20">
        <v>5.5419999999999998</v>
      </c>
      <c r="R83" s="21">
        <v>22.792000000000002</v>
      </c>
      <c r="S83" s="20">
        <v>7.4329999999999998</v>
      </c>
      <c r="T83" s="20">
        <v>10</v>
      </c>
      <c r="U83" s="20">
        <v>12.305999999999999</v>
      </c>
      <c r="V83" s="20">
        <v>2.5299999999999998</v>
      </c>
      <c r="W83" s="20">
        <v>3.7869999999999999</v>
      </c>
      <c r="X83" s="20">
        <v>3.5129999999999999</v>
      </c>
      <c r="Y83" s="21">
        <v>7.3</v>
      </c>
      <c r="Z83" s="20">
        <v>33.893000000000001</v>
      </c>
      <c r="AA83" s="20">
        <v>10.425000000000001</v>
      </c>
      <c r="AB83" s="20">
        <v>16.399999999999999</v>
      </c>
      <c r="AC83" s="20">
        <v>7.5</v>
      </c>
      <c r="AD83" s="20">
        <v>5.9</v>
      </c>
      <c r="AE83" s="20">
        <v>1.6619999999999999</v>
      </c>
      <c r="AF83" s="20">
        <v>0</v>
      </c>
      <c r="AG83" s="20">
        <v>1.667654</v>
      </c>
      <c r="AH83" s="20">
        <v>0</v>
      </c>
      <c r="AI83" s="20">
        <v>9.01</v>
      </c>
      <c r="AJ83" s="20">
        <v>1.2</v>
      </c>
      <c r="AK83" s="20">
        <v>0.6</v>
      </c>
      <c r="AL83" s="20">
        <v>1.5109999999999999</v>
      </c>
      <c r="AM83" s="20">
        <v>0.252</v>
      </c>
      <c r="AN83" s="20">
        <v>8.0364999999999992E-2</v>
      </c>
      <c r="AO83" s="20">
        <v>0.42699999999999999</v>
      </c>
      <c r="AP83" s="20">
        <v>1.393</v>
      </c>
      <c r="AQ83" s="20">
        <v>11.680197</v>
      </c>
      <c r="AR83" s="22">
        <f t="shared" si="12"/>
        <v>499.7842159999999</v>
      </c>
    </row>
    <row r="84" spans="1:44" s="14" customFormat="1" hidden="1" outlineLevel="1" x14ac:dyDescent="0.3">
      <c r="A84" s="44">
        <v>43800</v>
      </c>
      <c r="B84" s="28">
        <f t="shared" si="11"/>
        <v>75.549000000000007</v>
      </c>
      <c r="C84" s="29">
        <v>50.523000000000003</v>
      </c>
      <c r="D84" s="20">
        <v>25.026</v>
      </c>
      <c r="E84" s="20">
        <v>13.053000000000001</v>
      </c>
      <c r="F84" s="20">
        <v>9.4529999999999994</v>
      </c>
      <c r="G84" s="20">
        <v>16.079999999999998</v>
      </c>
      <c r="H84" s="20">
        <v>52.427999999999997</v>
      </c>
      <c r="I84" s="20">
        <v>11.103999999999999</v>
      </c>
      <c r="J84" s="23">
        <v>177.667</v>
      </c>
      <c r="K84" s="20">
        <v>105.65600000000001</v>
      </c>
      <c r="L84" s="20">
        <v>14.7</v>
      </c>
      <c r="M84" s="20">
        <v>4.9169999999999998</v>
      </c>
      <c r="N84" s="20">
        <v>6.9089999999999998</v>
      </c>
      <c r="O84" s="20">
        <v>56.536000000000001</v>
      </c>
      <c r="P84" s="20">
        <v>25.677</v>
      </c>
      <c r="Q84" s="20">
        <v>5.1100000000000003</v>
      </c>
      <c r="R84" s="21">
        <v>30.786999999999999</v>
      </c>
      <c r="S84" s="20">
        <v>7.6639999999999997</v>
      </c>
      <c r="T84" s="20">
        <v>10.6</v>
      </c>
      <c r="U84" s="20">
        <v>12.632999999999999</v>
      </c>
      <c r="V84" s="20">
        <v>2.7440000000000002</v>
      </c>
      <c r="W84" s="20">
        <v>4.2560000000000002</v>
      </c>
      <c r="X84" s="20">
        <v>3.6030000000000002</v>
      </c>
      <c r="Y84" s="21">
        <v>7.859</v>
      </c>
      <c r="Z84" s="20">
        <v>36.948</v>
      </c>
      <c r="AA84" s="20">
        <v>11.285</v>
      </c>
      <c r="AB84" s="20">
        <v>11.4</v>
      </c>
      <c r="AC84" s="20">
        <v>7.6</v>
      </c>
      <c r="AD84" s="20">
        <v>6.4</v>
      </c>
      <c r="AE84" s="20">
        <v>1.78</v>
      </c>
      <c r="AF84" s="20">
        <v>5.2</v>
      </c>
      <c r="AG84" s="20">
        <v>1.7201099999999998</v>
      </c>
      <c r="AH84" s="20">
        <v>0</v>
      </c>
      <c r="AI84" s="20">
        <v>10.925000000000001</v>
      </c>
      <c r="AJ84" s="20">
        <v>0.8</v>
      </c>
      <c r="AK84" s="20">
        <v>0.6</v>
      </c>
      <c r="AL84" s="20">
        <v>1.72</v>
      </c>
      <c r="AM84" s="20">
        <v>0.28299999999999997</v>
      </c>
      <c r="AN84" s="20">
        <v>0.42765999999999998</v>
      </c>
      <c r="AO84" s="20">
        <v>0.51300000000000001</v>
      </c>
      <c r="AP84" s="20">
        <v>1.46</v>
      </c>
      <c r="AQ84" s="20">
        <v>14.016764999999999</v>
      </c>
      <c r="AR84" s="22">
        <f t="shared" si="12"/>
        <v>551.7505349999999</v>
      </c>
    </row>
    <row r="85" spans="1:44" s="14" customFormat="1" collapsed="1" x14ac:dyDescent="0.3">
      <c r="A85" s="45" t="s">
        <v>38</v>
      </c>
      <c r="B85" s="24">
        <f>SUM(B73:B84)</f>
        <v>651.74599999999998</v>
      </c>
      <c r="C85" s="24">
        <f>SUM(C73:C84)</f>
        <v>385.33100000000002</v>
      </c>
      <c r="D85" s="24">
        <f t="shared" ref="D85:AR85" si="13">SUM(D73:D84)</f>
        <v>266.41500000000002</v>
      </c>
      <c r="E85" s="24">
        <f t="shared" si="13"/>
        <v>151.83899999999997</v>
      </c>
      <c r="F85" s="24">
        <f t="shared" si="13"/>
        <v>50.56</v>
      </c>
      <c r="G85" s="24">
        <f t="shared" si="13"/>
        <v>170.274</v>
      </c>
      <c r="H85" s="24">
        <f t="shared" si="13"/>
        <v>459.745</v>
      </c>
      <c r="I85" s="24">
        <f t="shared" si="13"/>
        <v>104.08799999999999</v>
      </c>
      <c r="J85" s="25">
        <f t="shared" si="13"/>
        <v>1588.2519999999997</v>
      </c>
      <c r="K85" s="24">
        <f t="shared" si="13"/>
        <v>1187.8150000000001</v>
      </c>
      <c r="L85" s="24">
        <f>SUM(L73:L84)</f>
        <v>193.4</v>
      </c>
      <c r="M85" s="24">
        <f>SUM(M73:M84)</f>
        <v>71.709000000000003</v>
      </c>
      <c r="N85" s="24">
        <f>SUM(N73:N84)</f>
        <v>78.938000000000002</v>
      </c>
      <c r="O85" s="24">
        <f t="shared" si="13"/>
        <v>565.43499999999995</v>
      </c>
      <c r="P85" s="24">
        <f t="shared" si="13"/>
        <v>335.00299999999999</v>
      </c>
      <c r="Q85" s="24">
        <f t="shared" si="13"/>
        <v>54.187999999999995</v>
      </c>
      <c r="R85" s="26">
        <f t="shared" si="13"/>
        <v>389.19099999999997</v>
      </c>
      <c r="S85" s="24">
        <f t="shared" si="13"/>
        <v>81.924999999999997</v>
      </c>
      <c r="T85" s="24">
        <f t="shared" si="13"/>
        <v>111.4</v>
      </c>
      <c r="U85" s="24">
        <f>SUM(U73:U84)</f>
        <v>145.529</v>
      </c>
      <c r="V85" s="24">
        <f>SUM(V73:V84)</f>
        <v>29.917999999999999</v>
      </c>
      <c r="W85" s="24">
        <f t="shared" si="13"/>
        <v>43.312000000000005</v>
      </c>
      <c r="X85" s="24">
        <f t="shared" si="13"/>
        <v>42.938000000000002</v>
      </c>
      <c r="Y85" s="26">
        <f t="shared" si="13"/>
        <v>86.25</v>
      </c>
      <c r="Z85" s="24">
        <f>SUM(Z73:Z84)</f>
        <v>375.93899999999996</v>
      </c>
      <c r="AA85" s="24">
        <f t="shared" si="13"/>
        <v>116.13100000000001</v>
      </c>
      <c r="AB85" s="24">
        <f>SUM(AB73:AB84)</f>
        <v>195.5</v>
      </c>
      <c r="AC85" s="24">
        <f t="shared" si="13"/>
        <v>81.100000000000009</v>
      </c>
      <c r="AD85" s="24">
        <f>SUM(AD73:AD84)</f>
        <v>71.900000000000006</v>
      </c>
      <c r="AE85" s="24">
        <f t="shared" si="13"/>
        <v>21.132999999999999</v>
      </c>
      <c r="AF85" s="24">
        <f>SUM(AF73:AF84)</f>
        <v>54.000000000000014</v>
      </c>
      <c r="AG85" s="24">
        <f t="shared" si="13"/>
        <v>12.556902000000001</v>
      </c>
      <c r="AH85" s="24">
        <f>SUM(AH73:AH84)</f>
        <v>0</v>
      </c>
      <c r="AI85" s="24">
        <f t="shared" si="13"/>
        <v>114.03000000000002</v>
      </c>
      <c r="AJ85" s="24">
        <f t="shared" si="13"/>
        <v>12.499999999999998</v>
      </c>
      <c r="AK85" s="24">
        <f t="shared" si="13"/>
        <v>7.0999999999999988</v>
      </c>
      <c r="AL85" s="24">
        <f t="shared" si="13"/>
        <v>19.024999999999999</v>
      </c>
      <c r="AM85" s="24">
        <f t="shared" si="13"/>
        <v>4.7230000000000008</v>
      </c>
      <c r="AN85" s="24">
        <f t="shared" si="13"/>
        <v>5.2252029999999987</v>
      </c>
      <c r="AO85" s="24">
        <f t="shared" si="13"/>
        <v>2.3729999999999998</v>
      </c>
      <c r="AP85" s="24">
        <f t="shared" si="13"/>
        <v>15.641000000000002</v>
      </c>
      <c r="AQ85" s="24">
        <v>148.80608599999999</v>
      </c>
      <c r="AR85" s="27">
        <f t="shared" si="13"/>
        <v>5787.4451909999998</v>
      </c>
    </row>
    <row r="86" spans="1:44" s="14" customFormat="1" hidden="1" outlineLevel="1" x14ac:dyDescent="0.3">
      <c r="A86" s="44">
        <v>43831</v>
      </c>
      <c r="B86" s="28">
        <f t="shared" ref="B86:B97" si="14">C86+D86</f>
        <v>35.589999999999996</v>
      </c>
      <c r="C86" s="29">
        <v>15.69</v>
      </c>
      <c r="D86" s="20">
        <v>19.899999999999999</v>
      </c>
      <c r="E86" s="20">
        <v>14.335000000000001</v>
      </c>
      <c r="F86" s="20">
        <v>2.34</v>
      </c>
      <c r="G86" s="20">
        <v>15.885999999999999</v>
      </c>
      <c r="H86" s="20">
        <v>33.386000000000003</v>
      </c>
      <c r="I86" s="20">
        <v>8.9290000000000003</v>
      </c>
      <c r="J86" s="23">
        <v>110.46600000000001</v>
      </c>
      <c r="K86" s="20">
        <v>100.944</v>
      </c>
      <c r="L86" s="20">
        <v>14.776</v>
      </c>
      <c r="M86" s="20">
        <v>7.601</v>
      </c>
      <c r="N86" s="20">
        <v>6.5510000000000002</v>
      </c>
      <c r="O86" s="20">
        <v>53.542000000000002</v>
      </c>
      <c r="P86" s="20">
        <v>20.815000000000001</v>
      </c>
      <c r="Q86" s="20">
        <v>3.923</v>
      </c>
      <c r="R86" s="21">
        <v>24.738</v>
      </c>
      <c r="S86" s="20">
        <v>7.0168999999999997</v>
      </c>
      <c r="T86" s="20">
        <v>8.24</v>
      </c>
      <c r="U86" s="20">
        <v>11.611000000000001</v>
      </c>
      <c r="V86" s="20">
        <v>2.573</v>
      </c>
      <c r="W86" s="20">
        <v>3.5539999999999998</v>
      </c>
      <c r="X86" s="20">
        <v>3.2989999999999999</v>
      </c>
      <c r="Y86" s="21">
        <v>6.8529999999999998</v>
      </c>
      <c r="Z86" s="20">
        <v>29.774000000000001</v>
      </c>
      <c r="AA86" s="20">
        <v>9.9510000000000005</v>
      </c>
      <c r="AB86" s="20">
        <v>17.117999999999999</v>
      </c>
      <c r="AC86" s="20">
        <v>7.4569999999999999</v>
      </c>
      <c r="AD86" s="20">
        <v>6.78</v>
      </c>
      <c r="AE86" s="20">
        <v>1.119</v>
      </c>
      <c r="AF86" s="20">
        <v>6.32</v>
      </c>
      <c r="AG86" s="20">
        <v>1.610147</v>
      </c>
      <c r="AH86" s="20">
        <v>0</v>
      </c>
      <c r="AI86" s="20">
        <v>10.715</v>
      </c>
      <c r="AJ86" s="20">
        <v>1.177</v>
      </c>
      <c r="AK86" s="20">
        <v>0.50700000000000001</v>
      </c>
      <c r="AL86" s="20">
        <v>1.101</v>
      </c>
      <c r="AM86" s="20">
        <v>0.3</v>
      </c>
      <c r="AN86" s="20">
        <v>0.40799999999999997</v>
      </c>
      <c r="AO86" s="20">
        <v>0.60099999999999998</v>
      </c>
      <c r="AP86" s="20">
        <v>1.3640000000000001</v>
      </c>
      <c r="AQ86" s="20">
        <v>8.9009999999999998</v>
      </c>
      <c r="AR86" s="22">
        <f t="shared" ref="AR86:AR97" si="15">SUM(E86:I86,B86,K86:Q86,S86:X86,Z86:AQ86)</f>
        <v>460.11504699999995</v>
      </c>
    </row>
    <row r="87" spans="1:44" s="14" customFormat="1" hidden="1" outlineLevel="1" x14ac:dyDescent="0.3">
      <c r="A87" s="44">
        <v>43862</v>
      </c>
      <c r="B87" s="28">
        <f t="shared" si="14"/>
        <v>45.864000000000004</v>
      </c>
      <c r="C87" s="29">
        <v>24.626000000000001</v>
      </c>
      <c r="D87" s="20">
        <v>21.238</v>
      </c>
      <c r="E87" s="20">
        <v>8.7360000000000007</v>
      </c>
      <c r="F87" s="30">
        <v>3.5470000000000002</v>
      </c>
      <c r="G87" s="30">
        <v>13.321999999999999</v>
      </c>
      <c r="H87" s="30">
        <v>32.256</v>
      </c>
      <c r="I87" s="30">
        <v>8.3420000000000005</v>
      </c>
      <c r="J87" s="23">
        <v>112.06700000000001</v>
      </c>
      <c r="K87" s="20">
        <v>94.504000000000005</v>
      </c>
      <c r="L87" s="20">
        <v>13.911</v>
      </c>
      <c r="M87" s="20">
        <v>7.1539999999999999</v>
      </c>
      <c r="N87" s="20">
        <v>6.032</v>
      </c>
      <c r="O87" s="20">
        <v>47.073</v>
      </c>
      <c r="P87" s="20">
        <v>23.007000000000001</v>
      </c>
      <c r="Q87" s="20">
        <v>3.601</v>
      </c>
      <c r="R87" s="21">
        <v>26.608000000000001</v>
      </c>
      <c r="S87" s="20">
        <v>5.8115540000000001</v>
      </c>
      <c r="T87" s="20">
        <v>10.609</v>
      </c>
      <c r="U87" s="20">
        <v>11.867000000000001</v>
      </c>
      <c r="V87" s="20">
        <v>2.2200000000000002</v>
      </c>
      <c r="W87" s="20">
        <v>2.6850000000000001</v>
      </c>
      <c r="X87" s="20">
        <v>2.7959999999999998</v>
      </c>
      <c r="Y87" s="21">
        <v>5.4809999999999999</v>
      </c>
      <c r="Z87" s="20">
        <v>33.024000000000001</v>
      </c>
      <c r="AA87" s="20">
        <v>8.3930000000000007</v>
      </c>
      <c r="AB87" s="20">
        <v>11.686999999999999</v>
      </c>
      <c r="AC87" s="20">
        <v>7.415</v>
      </c>
      <c r="AD87" s="20">
        <v>6.5640000000000001</v>
      </c>
      <c r="AE87" s="20">
        <v>1.163</v>
      </c>
      <c r="AF87" s="20">
        <v>5.5259999999999998</v>
      </c>
      <c r="AG87" s="20">
        <v>1.605029</v>
      </c>
      <c r="AH87" s="20">
        <v>0</v>
      </c>
      <c r="AI87" s="20">
        <v>11.843999999999999</v>
      </c>
      <c r="AJ87" s="20">
        <v>1.131</v>
      </c>
      <c r="AK87" s="20">
        <v>0.501</v>
      </c>
      <c r="AL87" s="20">
        <v>1.026</v>
      </c>
      <c r="AM87" s="20">
        <v>0.3</v>
      </c>
      <c r="AN87" s="20">
        <v>0.41799999999999998</v>
      </c>
      <c r="AO87" s="20">
        <v>0.45300000000000001</v>
      </c>
      <c r="AP87" s="20">
        <v>1.3089999999999999</v>
      </c>
      <c r="AQ87" s="20">
        <v>12.234999999999999</v>
      </c>
      <c r="AR87" s="22">
        <f t="shared" si="15"/>
        <v>447.93158300000016</v>
      </c>
    </row>
    <row r="88" spans="1:44" s="14" customFormat="1" hidden="1" outlineLevel="1" x14ac:dyDescent="0.3">
      <c r="A88" s="44">
        <v>43891</v>
      </c>
      <c r="B88" s="28">
        <f t="shared" si="14"/>
        <v>64.959999999999994</v>
      </c>
      <c r="C88" s="29">
        <v>41.341999999999999</v>
      </c>
      <c r="D88" s="20">
        <v>23.617999999999999</v>
      </c>
      <c r="E88" s="20">
        <v>6.4349999999999996</v>
      </c>
      <c r="F88" s="30">
        <v>4.7140000000000004</v>
      </c>
      <c r="G88" s="30">
        <v>16.128</v>
      </c>
      <c r="H88" s="30">
        <v>36.573</v>
      </c>
      <c r="I88" s="30">
        <v>9.9329999999999998</v>
      </c>
      <c r="J88" s="23">
        <v>138.74299999999999</v>
      </c>
      <c r="K88" s="20">
        <v>101.77200000000001</v>
      </c>
      <c r="L88" s="20">
        <v>15.246</v>
      </c>
      <c r="M88" s="20">
        <v>5.63</v>
      </c>
      <c r="N88" s="20">
        <v>6.2190000000000003</v>
      </c>
      <c r="O88" s="20">
        <v>50.424999999999997</v>
      </c>
      <c r="P88" s="20">
        <v>24.867000000000001</v>
      </c>
      <c r="Q88" s="20">
        <v>4.4089999999999998</v>
      </c>
      <c r="R88" s="21">
        <v>29.276</v>
      </c>
      <c r="S88" s="20">
        <v>6.2030000000000003</v>
      </c>
      <c r="T88" s="20">
        <v>9.2880000000000003</v>
      </c>
      <c r="U88" s="20">
        <v>11.359</v>
      </c>
      <c r="V88" s="20">
        <v>2.1419999999999999</v>
      </c>
      <c r="W88" s="20">
        <v>2.9580000000000002</v>
      </c>
      <c r="X88" s="20">
        <v>2.5219999999999998</v>
      </c>
      <c r="Y88" s="21">
        <v>5.48</v>
      </c>
      <c r="Z88" s="20">
        <v>33.671999999999997</v>
      </c>
      <c r="AA88" s="20">
        <v>9.34</v>
      </c>
      <c r="AB88" s="20">
        <v>14.805</v>
      </c>
      <c r="AC88" s="20">
        <v>8.0579999999999998</v>
      </c>
      <c r="AD88" s="20">
        <v>6.89</v>
      </c>
      <c r="AE88" s="20">
        <v>1.0409999999999999</v>
      </c>
      <c r="AF88" s="20">
        <v>5.556</v>
      </c>
      <c r="AG88" s="20">
        <v>1.6000029999999998</v>
      </c>
      <c r="AH88" s="20">
        <v>0</v>
      </c>
      <c r="AI88" s="20">
        <v>13.624000000000001</v>
      </c>
      <c r="AJ88" s="20">
        <v>1.198</v>
      </c>
      <c r="AK88" s="20">
        <v>0.47599999999999998</v>
      </c>
      <c r="AL88" s="20">
        <v>1.071</v>
      </c>
      <c r="AM88" s="20">
        <v>0.3</v>
      </c>
      <c r="AN88" s="20">
        <v>0.40600000000000003</v>
      </c>
      <c r="AO88" s="20">
        <v>0.60299999999999998</v>
      </c>
      <c r="AP88" s="20">
        <v>1.389</v>
      </c>
      <c r="AQ88" s="20">
        <v>12.853999999999999</v>
      </c>
      <c r="AR88" s="22">
        <f t="shared" si="15"/>
        <v>494.66600300000005</v>
      </c>
    </row>
    <row r="89" spans="1:44" s="14" customFormat="1" hidden="1" outlineLevel="1" x14ac:dyDescent="0.3">
      <c r="A89" s="44">
        <v>43922</v>
      </c>
      <c r="B89" s="28">
        <f t="shared" si="14"/>
        <v>50.870000000000005</v>
      </c>
      <c r="C89" s="29">
        <v>30.402000000000001</v>
      </c>
      <c r="D89" s="20">
        <v>20.468</v>
      </c>
      <c r="E89" s="20">
        <v>10.118</v>
      </c>
      <c r="F89" s="30">
        <v>6.1589999999999998</v>
      </c>
      <c r="G89" s="30">
        <v>12.324</v>
      </c>
      <c r="H89" s="30">
        <v>36.604999999999997</v>
      </c>
      <c r="I89" s="30">
        <v>8.5410000000000004</v>
      </c>
      <c r="J89" s="23">
        <v>124.61699999999999</v>
      </c>
      <c r="K89" s="20">
        <v>102.64100000000001</v>
      </c>
      <c r="L89" s="20">
        <v>15.481</v>
      </c>
      <c r="M89" s="20">
        <v>5.2779999999999996</v>
      </c>
      <c r="N89" s="20">
        <v>6.0910000000000002</v>
      </c>
      <c r="O89" s="20">
        <v>54.085000000000001</v>
      </c>
      <c r="P89" s="20">
        <v>24.731000000000002</v>
      </c>
      <c r="Q89" s="20">
        <v>3.6589999999999998</v>
      </c>
      <c r="R89" s="21">
        <v>28.39</v>
      </c>
      <c r="S89" s="20">
        <v>6.0750000000000002</v>
      </c>
      <c r="T89" s="20">
        <v>7.8079999999999998</v>
      </c>
      <c r="U89" s="20">
        <v>10.122</v>
      </c>
      <c r="V89" s="20">
        <v>2.08</v>
      </c>
      <c r="W89" s="20">
        <v>3.282</v>
      </c>
      <c r="X89" s="20">
        <v>3.2349999999999999</v>
      </c>
      <c r="Y89" s="21">
        <v>6.5169999999999995</v>
      </c>
      <c r="Z89" s="20">
        <v>31.17</v>
      </c>
      <c r="AA89" s="20">
        <v>8.3019999999999996</v>
      </c>
      <c r="AB89" s="20">
        <v>11.087</v>
      </c>
      <c r="AC89" s="20">
        <v>7.8579999999999997</v>
      </c>
      <c r="AD89" s="20">
        <v>6.8769999999999998</v>
      </c>
      <c r="AE89" s="20">
        <v>1.1519999999999999</v>
      </c>
      <c r="AF89" s="20">
        <v>4.9210000000000003</v>
      </c>
      <c r="AG89" s="20">
        <v>1.4698869999999999</v>
      </c>
      <c r="AH89" s="20">
        <v>0</v>
      </c>
      <c r="AI89" s="20">
        <v>10.868</v>
      </c>
      <c r="AJ89" s="20">
        <v>1.105</v>
      </c>
      <c r="AK89" s="20">
        <v>0.436</v>
      </c>
      <c r="AL89" s="20">
        <v>1.125</v>
      </c>
      <c r="AM89" s="20">
        <v>0.1</v>
      </c>
      <c r="AN89" s="20">
        <v>0.42899999999999999</v>
      </c>
      <c r="AO89" s="20">
        <v>0.55000000000000004</v>
      </c>
      <c r="AP89" s="20">
        <v>1.3009999999999999</v>
      </c>
      <c r="AQ89" s="20">
        <v>12.587</v>
      </c>
      <c r="AR89" s="22">
        <f t="shared" si="15"/>
        <v>470.52288699999997</v>
      </c>
    </row>
    <row r="90" spans="1:44" s="14" customFormat="1" hidden="1" outlineLevel="1" x14ac:dyDescent="0.3">
      <c r="A90" s="44">
        <v>43952</v>
      </c>
      <c r="B90" s="28">
        <f t="shared" si="14"/>
        <v>54.355000000000004</v>
      </c>
      <c r="C90" s="29">
        <v>35.023000000000003</v>
      </c>
      <c r="D90" s="20">
        <v>19.332000000000001</v>
      </c>
      <c r="E90" s="20">
        <v>12.487</v>
      </c>
      <c r="F90" s="30">
        <v>5.351</v>
      </c>
      <c r="G90" s="30">
        <v>16.483000000000001</v>
      </c>
      <c r="H90" s="30">
        <v>37.728000000000002</v>
      </c>
      <c r="I90" s="30">
        <v>7.9729999999999999</v>
      </c>
      <c r="J90" s="23">
        <v>134.37700000000001</v>
      </c>
      <c r="K90" s="20">
        <v>93.356999999999999</v>
      </c>
      <c r="L90" s="20">
        <v>12.566000000000001</v>
      </c>
      <c r="M90" s="20">
        <v>5.6390000000000002</v>
      </c>
      <c r="N90" s="20">
        <v>6.1210000000000004</v>
      </c>
      <c r="O90" s="20">
        <v>60.058999999999997</v>
      </c>
      <c r="P90" s="20">
        <v>29.544</v>
      </c>
      <c r="Q90" s="20">
        <v>3.657</v>
      </c>
      <c r="R90" s="21">
        <v>33.201000000000001</v>
      </c>
      <c r="S90" s="20">
        <v>6.4539999999999997</v>
      </c>
      <c r="T90" s="20">
        <v>10.747999999999999</v>
      </c>
      <c r="U90" s="20">
        <v>13.69</v>
      </c>
      <c r="V90" s="20">
        <v>2.31</v>
      </c>
      <c r="W90" s="20">
        <v>3.3180000000000001</v>
      </c>
      <c r="X90" s="20">
        <v>2.956</v>
      </c>
      <c r="Y90" s="21">
        <v>6.274</v>
      </c>
      <c r="Z90" s="20">
        <v>35.023000000000003</v>
      </c>
      <c r="AA90" s="20">
        <v>8.3490000000000002</v>
      </c>
      <c r="AB90" s="20">
        <v>10.895</v>
      </c>
      <c r="AC90" s="20">
        <v>7.9790000000000001</v>
      </c>
      <c r="AD90" s="20">
        <v>7.0229999999999997</v>
      </c>
      <c r="AE90" s="20">
        <v>1.202</v>
      </c>
      <c r="AF90" s="20">
        <v>4.8040000000000003</v>
      </c>
      <c r="AG90" s="20">
        <v>1.455546</v>
      </c>
      <c r="AH90" s="20">
        <v>0</v>
      </c>
      <c r="AI90" s="20">
        <v>13.657</v>
      </c>
      <c r="AJ90" s="20">
        <v>0.93700000000000006</v>
      </c>
      <c r="AK90" s="20">
        <v>0.40400000000000003</v>
      </c>
      <c r="AL90" s="20">
        <v>0.19500000000000001</v>
      </c>
      <c r="AM90" s="20">
        <v>0</v>
      </c>
      <c r="AN90" s="20">
        <v>0.37</v>
      </c>
      <c r="AO90" s="20">
        <v>0.501</v>
      </c>
      <c r="AP90" s="20">
        <v>1.268</v>
      </c>
      <c r="AQ90" s="20">
        <v>13.469000000000001</v>
      </c>
      <c r="AR90" s="22">
        <f t="shared" si="15"/>
        <v>492.32754599999993</v>
      </c>
    </row>
    <row r="91" spans="1:44" s="14" customFormat="1" hidden="1" outlineLevel="1" x14ac:dyDescent="0.3">
      <c r="A91" s="44">
        <v>43983</v>
      </c>
      <c r="B91" s="28">
        <f t="shared" si="14"/>
        <v>53.632000000000005</v>
      </c>
      <c r="C91" s="29">
        <v>32.450000000000003</v>
      </c>
      <c r="D91" s="20">
        <v>21.181999999999999</v>
      </c>
      <c r="E91" s="20">
        <v>12.212999999999999</v>
      </c>
      <c r="F91" s="30">
        <v>4.1740000000000004</v>
      </c>
      <c r="G91" s="30">
        <v>17.754999999999999</v>
      </c>
      <c r="H91" s="30">
        <v>29.67</v>
      </c>
      <c r="I91" s="30">
        <v>5.8689999999999998</v>
      </c>
      <c r="J91" s="23">
        <v>123.313</v>
      </c>
      <c r="K91" s="20">
        <v>105.839</v>
      </c>
      <c r="L91" s="20">
        <v>9.5090000000000003</v>
      </c>
      <c r="M91" s="20">
        <v>6.0049999999999999</v>
      </c>
      <c r="N91" s="20">
        <v>5.641</v>
      </c>
      <c r="O91" s="20">
        <v>57.831000000000003</v>
      </c>
      <c r="P91" s="20">
        <v>26.484999999999999</v>
      </c>
      <c r="Q91" s="20">
        <v>3.0579999999999998</v>
      </c>
      <c r="R91" s="21">
        <v>29.542999999999999</v>
      </c>
      <c r="S91" s="20">
        <v>5.548</v>
      </c>
      <c r="T91" s="20">
        <v>8.69</v>
      </c>
      <c r="U91" s="20">
        <v>11.666</v>
      </c>
      <c r="V91" s="20">
        <v>2.2290000000000001</v>
      </c>
      <c r="W91" s="20">
        <v>2.8940000000000001</v>
      </c>
      <c r="X91" s="20">
        <v>2.96</v>
      </c>
      <c r="Y91" s="21">
        <v>5.8540000000000001</v>
      </c>
      <c r="Z91" s="20">
        <v>25.795999999999999</v>
      </c>
      <c r="AA91" s="20">
        <v>8.2260000000000009</v>
      </c>
      <c r="AB91" s="20">
        <v>9.2260000000000009</v>
      </c>
      <c r="AC91" s="20">
        <v>8.0449999999999999</v>
      </c>
      <c r="AD91" s="20">
        <v>6.2519999999999998</v>
      </c>
      <c r="AE91" s="20">
        <v>1.1639999999999999</v>
      </c>
      <c r="AF91" s="20">
        <v>4.4340000000000002</v>
      </c>
      <c r="AG91" s="20">
        <v>1.3587020000000001</v>
      </c>
      <c r="AH91" s="20">
        <v>0</v>
      </c>
      <c r="AI91" s="20">
        <v>14.214</v>
      </c>
      <c r="AJ91" s="20">
        <v>1.083</v>
      </c>
      <c r="AK91" s="20">
        <v>0.38800000000000001</v>
      </c>
      <c r="AL91" s="20">
        <v>1.208</v>
      </c>
      <c r="AM91" s="20">
        <v>0</v>
      </c>
      <c r="AN91" s="20">
        <v>0.307</v>
      </c>
      <c r="AO91" s="20">
        <v>0.502</v>
      </c>
      <c r="AP91" s="20">
        <v>1.393</v>
      </c>
      <c r="AQ91" s="20">
        <v>11.244</v>
      </c>
      <c r="AR91" s="22">
        <f t="shared" si="15"/>
        <v>466.50870199999997</v>
      </c>
    </row>
    <row r="92" spans="1:44" s="14" customFormat="1" hidden="1" outlineLevel="1" x14ac:dyDescent="0.3">
      <c r="A92" s="44">
        <v>44013</v>
      </c>
      <c r="B92" s="28">
        <f t="shared" si="14"/>
        <v>57.227999999999994</v>
      </c>
      <c r="C92" s="29">
        <v>37.847999999999999</v>
      </c>
      <c r="D92" s="20">
        <v>19.38</v>
      </c>
      <c r="E92" s="20">
        <v>9.8610000000000007</v>
      </c>
      <c r="F92" s="30">
        <v>4.5970000000000004</v>
      </c>
      <c r="G92" s="30">
        <v>14.282</v>
      </c>
      <c r="H92" s="30">
        <v>30.462</v>
      </c>
      <c r="I92" s="30">
        <v>8.1769999999999996</v>
      </c>
      <c r="J92" s="23">
        <v>124.60699999999999</v>
      </c>
      <c r="K92" s="20">
        <v>103.74</v>
      </c>
      <c r="L92" s="20">
        <v>8.7729999999999997</v>
      </c>
      <c r="M92" s="20">
        <v>5.22</v>
      </c>
      <c r="N92" s="20">
        <v>6.4630000000000001</v>
      </c>
      <c r="O92" s="20">
        <v>58.119</v>
      </c>
      <c r="P92" s="20">
        <v>27.661000000000001</v>
      </c>
      <c r="Q92" s="20">
        <v>2.8559999999999999</v>
      </c>
      <c r="R92" s="21">
        <v>30.517000000000003</v>
      </c>
      <c r="S92" s="20">
        <v>5.2359999999999998</v>
      </c>
      <c r="T92" s="20">
        <v>10.129</v>
      </c>
      <c r="U92" s="20">
        <v>9.4809999999999999</v>
      </c>
      <c r="V92" s="20">
        <v>2.351</v>
      </c>
      <c r="W92" s="20">
        <v>2.8620000000000001</v>
      </c>
      <c r="X92" s="20">
        <v>3.1589999999999998</v>
      </c>
      <c r="Y92" s="21">
        <v>6.0209999999999999</v>
      </c>
      <c r="Z92" s="20">
        <v>27.137</v>
      </c>
      <c r="AA92" s="20">
        <v>7.8710000000000004</v>
      </c>
      <c r="AB92" s="20">
        <v>9.8239999999999998</v>
      </c>
      <c r="AC92" s="20">
        <v>7.8739999999999997</v>
      </c>
      <c r="AD92" s="20">
        <v>5.5</v>
      </c>
      <c r="AE92" s="20">
        <v>1.107</v>
      </c>
      <c r="AF92" s="20">
        <v>3.028</v>
      </c>
      <c r="AG92" s="20">
        <v>1.2522500000000001</v>
      </c>
      <c r="AH92" s="20">
        <v>0</v>
      </c>
      <c r="AI92" s="20">
        <v>12.36</v>
      </c>
      <c r="AJ92" s="20">
        <v>1.62</v>
      </c>
      <c r="AK92" s="20">
        <v>0.36699999999999999</v>
      </c>
      <c r="AL92" s="20">
        <v>1.2430000000000001</v>
      </c>
      <c r="AM92" s="20">
        <v>0</v>
      </c>
      <c r="AN92" s="20">
        <v>0.39800000000000002</v>
      </c>
      <c r="AO92" s="20">
        <v>0.61599999999999999</v>
      </c>
      <c r="AP92" s="20">
        <v>1.4710000000000001</v>
      </c>
      <c r="AQ92" s="20">
        <v>12.753</v>
      </c>
      <c r="AR92" s="22">
        <f t="shared" si="15"/>
        <v>465.07825000000008</v>
      </c>
    </row>
    <row r="93" spans="1:44" s="14" customFormat="1" hidden="1" outlineLevel="1" x14ac:dyDescent="0.3">
      <c r="A93" s="44">
        <v>44044</v>
      </c>
      <c r="B93" s="28">
        <f t="shared" si="14"/>
        <v>61.284999999999997</v>
      </c>
      <c r="C93" s="29">
        <v>43.335000000000001</v>
      </c>
      <c r="D93" s="20">
        <v>17.95</v>
      </c>
      <c r="E93" s="20">
        <v>16.667999999999999</v>
      </c>
      <c r="F93" s="30">
        <v>5.4720000000000004</v>
      </c>
      <c r="G93" s="30">
        <v>18.352</v>
      </c>
      <c r="H93" s="30">
        <v>36.82</v>
      </c>
      <c r="I93" s="30">
        <v>7.4950000000000001</v>
      </c>
      <c r="J93" s="23">
        <v>146.09200000000001</v>
      </c>
      <c r="K93" s="20">
        <v>94.82</v>
      </c>
      <c r="L93" s="20">
        <v>7.875</v>
      </c>
      <c r="M93" s="20">
        <v>5.6740000000000004</v>
      </c>
      <c r="N93" s="20">
        <v>6.6319999999999997</v>
      </c>
      <c r="O93" s="20">
        <v>60.037999999999997</v>
      </c>
      <c r="P93" s="20">
        <v>26.907</v>
      </c>
      <c r="Q93" s="20">
        <v>3.806</v>
      </c>
      <c r="R93" s="21">
        <v>30.713000000000001</v>
      </c>
      <c r="S93" s="20">
        <v>5.2679999999999998</v>
      </c>
      <c r="T93" s="20">
        <v>8.7569999999999997</v>
      </c>
      <c r="U93" s="20">
        <v>7.7160000000000002</v>
      </c>
      <c r="V93" s="20">
        <v>2.6840000000000002</v>
      </c>
      <c r="W93" s="20">
        <v>3.758</v>
      </c>
      <c r="X93" s="20">
        <v>3.1960000000000002</v>
      </c>
      <c r="Y93" s="21">
        <v>6.9540000000000006</v>
      </c>
      <c r="Z93" s="20">
        <v>33.268000000000001</v>
      </c>
      <c r="AA93" s="20">
        <v>7.1210000000000004</v>
      </c>
      <c r="AB93" s="20">
        <v>9.7059999999999995</v>
      </c>
      <c r="AC93" s="20">
        <v>7.9130000000000003</v>
      </c>
      <c r="AD93" s="20">
        <v>5.008</v>
      </c>
      <c r="AE93" s="20">
        <v>1.0780000000000001</v>
      </c>
      <c r="AF93" s="20">
        <v>4.359</v>
      </c>
      <c r="AG93" s="20">
        <v>1.7100909999999998</v>
      </c>
      <c r="AH93" s="20">
        <v>0</v>
      </c>
      <c r="AI93" s="20">
        <v>13.425000000000001</v>
      </c>
      <c r="AJ93" s="20">
        <v>1.0149999999999999</v>
      </c>
      <c r="AK93" s="20">
        <v>0.34499999999999997</v>
      </c>
      <c r="AL93" s="20">
        <v>1.093</v>
      </c>
      <c r="AM93" s="20">
        <v>0</v>
      </c>
      <c r="AN93" s="20">
        <v>0.433</v>
      </c>
      <c r="AO93" s="20">
        <v>0.67</v>
      </c>
      <c r="AP93" s="20">
        <v>1.52</v>
      </c>
      <c r="AQ93" s="20">
        <v>12.199842579999997</v>
      </c>
      <c r="AR93" s="22">
        <f t="shared" si="15"/>
        <v>484.08693357999994</v>
      </c>
    </row>
    <row r="94" spans="1:44" s="14" customFormat="1" hidden="1" outlineLevel="1" x14ac:dyDescent="0.3">
      <c r="A94" s="44">
        <v>44075</v>
      </c>
      <c r="B94" s="28">
        <f t="shared" si="14"/>
        <v>58.036999999999999</v>
      </c>
      <c r="C94" s="29">
        <v>39.036999999999999</v>
      </c>
      <c r="D94" s="20">
        <v>19</v>
      </c>
      <c r="E94" s="20">
        <v>21.949000000000002</v>
      </c>
      <c r="F94" s="30">
        <v>4.5810000000000004</v>
      </c>
      <c r="G94" s="30">
        <v>17.803999999999998</v>
      </c>
      <c r="H94" s="30">
        <v>39.462000000000003</v>
      </c>
      <c r="I94" s="30">
        <v>8.9659999999999993</v>
      </c>
      <c r="J94" s="23">
        <v>150.79900000000001</v>
      </c>
      <c r="K94" s="20">
        <v>94.132000000000005</v>
      </c>
      <c r="L94" s="20">
        <v>10.021000000000001</v>
      </c>
      <c r="M94" s="20">
        <v>4.8620000000000001</v>
      </c>
      <c r="N94" s="20">
        <v>6.0309999999999997</v>
      </c>
      <c r="O94" s="20">
        <v>53.32</v>
      </c>
      <c r="P94" s="20">
        <v>24.821999999999999</v>
      </c>
      <c r="Q94" s="20">
        <v>4.1399999999999997</v>
      </c>
      <c r="R94" s="21">
        <v>28.962</v>
      </c>
      <c r="S94" s="20">
        <v>5.42</v>
      </c>
      <c r="T94" s="20">
        <v>8.0250000000000004</v>
      </c>
      <c r="U94" s="20">
        <v>7.931</v>
      </c>
      <c r="V94" s="20">
        <v>2.6680000000000001</v>
      </c>
      <c r="W94" s="20">
        <v>3.919</v>
      </c>
      <c r="X94" s="20">
        <v>3.1819999999999999</v>
      </c>
      <c r="Y94" s="21">
        <v>7.101</v>
      </c>
      <c r="Z94" s="20">
        <v>29.334</v>
      </c>
      <c r="AA94" s="20">
        <v>7</v>
      </c>
      <c r="AB94" s="20">
        <v>12.521000000000001</v>
      </c>
      <c r="AC94" s="20">
        <v>7.3559999999999999</v>
      </c>
      <c r="AD94" s="20">
        <v>6.7919999999999998</v>
      </c>
      <c r="AE94" s="20">
        <v>1.0780000000000001</v>
      </c>
      <c r="AF94" s="20">
        <v>4.2409999999999997</v>
      </c>
      <c r="AG94" s="20">
        <v>1.668296</v>
      </c>
      <c r="AH94" s="20">
        <v>0</v>
      </c>
      <c r="AI94" s="20">
        <v>13.798</v>
      </c>
      <c r="AJ94" s="20">
        <v>1.21</v>
      </c>
      <c r="AK94" s="20">
        <v>0.36499999999999999</v>
      </c>
      <c r="AL94" s="20">
        <v>1.1859999999999999</v>
      </c>
      <c r="AM94" s="20">
        <v>0</v>
      </c>
      <c r="AN94" s="20">
        <v>0.40100000000000002</v>
      </c>
      <c r="AO94" s="20">
        <v>0.67700000000000005</v>
      </c>
      <c r="AP94" s="20">
        <v>1.603</v>
      </c>
      <c r="AQ94" s="20">
        <v>11.337999999999999</v>
      </c>
      <c r="AR94" s="22">
        <f t="shared" si="15"/>
        <v>479.84029599999997</v>
      </c>
    </row>
    <row r="95" spans="1:44" s="14" customFormat="1" hidden="1" outlineLevel="1" x14ac:dyDescent="0.3">
      <c r="A95" s="44">
        <v>44105</v>
      </c>
      <c r="B95" s="28">
        <f t="shared" si="14"/>
        <v>63.487000000000002</v>
      </c>
      <c r="C95" s="29">
        <v>38.789000000000001</v>
      </c>
      <c r="D95" s="20">
        <v>24.698</v>
      </c>
      <c r="E95" s="20">
        <v>18.274999999999999</v>
      </c>
      <c r="F95" s="30">
        <v>4.8739999999999997</v>
      </c>
      <c r="G95" s="30">
        <v>11.465999999999999</v>
      </c>
      <c r="H95" s="30">
        <v>42.38</v>
      </c>
      <c r="I95" s="30">
        <v>9.5030000000000001</v>
      </c>
      <c r="J95" s="23">
        <v>149.98500000000001</v>
      </c>
      <c r="K95" s="20">
        <v>99.887</v>
      </c>
      <c r="L95" s="20">
        <v>13</v>
      </c>
      <c r="M95" s="20">
        <v>5.4480000000000004</v>
      </c>
      <c r="N95" s="20">
        <v>6.0019999999999998</v>
      </c>
      <c r="O95" s="20">
        <v>42.228000000000002</v>
      </c>
      <c r="P95" s="20">
        <v>31.067</v>
      </c>
      <c r="Q95" s="20">
        <v>4.4569999999999999</v>
      </c>
      <c r="R95" s="21">
        <v>35.524000000000001</v>
      </c>
      <c r="S95" s="20">
        <v>5.7489999999999997</v>
      </c>
      <c r="T95" s="20">
        <v>4.4649999999999999</v>
      </c>
      <c r="U95" s="20">
        <v>11.726000000000001</v>
      </c>
      <c r="V95" s="20">
        <v>1.6830000000000001</v>
      </c>
      <c r="W95" s="20">
        <v>4.1289999999999996</v>
      </c>
      <c r="X95" s="20">
        <v>3.0619999999999998</v>
      </c>
      <c r="Y95" s="21">
        <v>7.1909999999999989</v>
      </c>
      <c r="Z95" s="20">
        <v>29.904</v>
      </c>
      <c r="AA95" s="20">
        <v>7.2640000000000002</v>
      </c>
      <c r="AB95" s="20">
        <v>15.832000000000001</v>
      </c>
      <c r="AC95" s="20">
        <v>7.5720000000000001</v>
      </c>
      <c r="AD95" s="20">
        <v>6.8019999999999996</v>
      </c>
      <c r="AE95" s="20">
        <v>1.119</v>
      </c>
      <c r="AF95" s="20">
        <v>4.4729999999999999</v>
      </c>
      <c r="AG95" s="20">
        <v>1.833024</v>
      </c>
      <c r="AH95" s="20">
        <v>0</v>
      </c>
      <c r="AI95" s="20">
        <v>12.378</v>
      </c>
      <c r="AJ95" s="20">
        <v>1.0509999999999999</v>
      </c>
      <c r="AK95" s="20">
        <v>0.37</v>
      </c>
      <c r="AL95" s="20">
        <v>1.0449999999999999</v>
      </c>
      <c r="AM95" s="20">
        <v>0</v>
      </c>
      <c r="AN95" s="20">
        <v>0.44900000000000001</v>
      </c>
      <c r="AO95" s="20">
        <v>0.71699999999999997</v>
      </c>
      <c r="AP95" s="20">
        <v>1.5940000000000001</v>
      </c>
      <c r="AQ95" s="20">
        <v>11.164000000000001</v>
      </c>
      <c r="AR95" s="22">
        <f t="shared" si="15"/>
        <v>486.45502400000009</v>
      </c>
    </row>
    <row r="96" spans="1:44" s="14" customFormat="1" hidden="1" outlineLevel="1" x14ac:dyDescent="0.3">
      <c r="A96" s="44">
        <v>44136</v>
      </c>
      <c r="B96" s="28">
        <f t="shared" si="14"/>
        <v>62.045000000000002</v>
      </c>
      <c r="C96" s="29">
        <v>36.369999999999997</v>
      </c>
      <c r="D96" s="20">
        <v>25.675000000000001</v>
      </c>
      <c r="E96" s="20">
        <v>21.408000000000001</v>
      </c>
      <c r="F96" s="30">
        <v>4.9930000000000003</v>
      </c>
      <c r="G96" s="30">
        <v>14.558</v>
      </c>
      <c r="H96" s="30">
        <v>43.427999999999997</v>
      </c>
      <c r="I96" s="30">
        <v>9.532</v>
      </c>
      <c r="J96" s="23">
        <v>155.964</v>
      </c>
      <c r="K96" s="20">
        <v>90.801000000000002</v>
      </c>
      <c r="L96" s="20">
        <v>12.022</v>
      </c>
      <c r="M96" s="20">
        <v>5.125</v>
      </c>
      <c r="N96" s="20">
        <v>5.8310000000000004</v>
      </c>
      <c r="O96" s="20">
        <v>48.143000000000001</v>
      </c>
      <c r="P96" s="20">
        <v>32.167999999999999</v>
      </c>
      <c r="Q96" s="20">
        <v>3.9750000000000001</v>
      </c>
      <c r="R96" s="21">
        <v>36.143000000000001</v>
      </c>
      <c r="S96" s="20">
        <v>6.0960000000000001</v>
      </c>
      <c r="T96" s="20">
        <v>0.80300000000000005</v>
      </c>
      <c r="U96" s="20">
        <v>8.7370000000000001</v>
      </c>
      <c r="V96" s="20">
        <v>1.4770000000000001</v>
      </c>
      <c r="W96" s="20">
        <v>3.8940000000000001</v>
      </c>
      <c r="X96" s="20">
        <v>3.0030000000000001</v>
      </c>
      <c r="Y96" s="21">
        <v>6.8970000000000002</v>
      </c>
      <c r="Z96" s="20">
        <v>31.852</v>
      </c>
      <c r="AA96" s="20">
        <v>7.3419999999999996</v>
      </c>
      <c r="AB96" s="20">
        <v>16.004999999999999</v>
      </c>
      <c r="AC96" s="20">
        <v>7.76</v>
      </c>
      <c r="AD96" s="20">
        <v>7.1070000000000002</v>
      </c>
      <c r="AE96" s="20">
        <v>1.1100000000000001</v>
      </c>
      <c r="AF96" s="20">
        <v>4.8079999999999998</v>
      </c>
      <c r="AG96" s="20">
        <v>1.9022029999999999</v>
      </c>
      <c r="AH96" s="20">
        <v>0</v>
      </c>
      <c r="AI96" s="20">
        <v>15.265000000000001</v>
      </c>
      <c r="AJ96" s="20">
        <v>1.133</v>
      </c>
      <c r="AK96" s="20">
        <v>0.36199999999999999</v>
      </c>
      <c r="AL96" s="20">
        <v>1.02</v>
      </c>
      <c r="AM96" s="20">
        <v>0</v>
      </c>
      <c r="AN96" s="20">
        <v>0.34499999999999997</v>
      </c>
      <c r="AO96" s="20">
        <v>0.7</v>
      </c>
      <c r="AP96" s="20">
        <v>1.54</v>
      </c>
      <c r="AQ96" s="20">
        <v>8.7989999999999995</v>
      </c>
      <c r="AR96" s="22">
        <f t="shared" si="15"/>
        <v>485.08920299999994</v>
      </c>
    </row>
    <row r="97" spans="1:44" s="14" customFormat="1" hidden="1" outlineLevel="1" x14ac:dyDescent="0.3">
      <c r="A97" s="44">
        <v>44166</v>
      </c>
      <c r="B97" s="28">
        <f t="shared" si="14"/>
        <v>54.018999999999998</v>
      </c>
      <c r="C97" s="29">
        <v>25.808</v>
      </c>
      <c r="D97" s="20">
        <v>28.210999999999999</v>
      </c>
      <c r="E97" s="20">
        <v>18.122</v>
      </c>
      <c r="F97" s="30">
        <v>5.5</v>
      </c>
      <c r="G97" s="30">
        <v>16.077999999999999</v>
      </c>
      <c r="H97" s="30">
        <v>44.451999999999998</v>
      </c>
      <c r="I97" s="30">
        <v>8.8190000000000008</v>
      </c>
      <c r="J97" s="23">
        <v>146.99</v>
      </c>
      <c r="K97" s="20">
        <v>104.879</v>
      </c>
      <c r="L97" s="20">
        <v>13.475</v>
      </c>
      <c r="M97" s="20">
        <v>5.2480000000000002</v>
      </c>
      <c r="N97" s="20">
        <v>6.2539999999999996</v>
      </c>
      <c r="O97" s="20">
        <v>44.235999999999997</v>
      </c>
      <c r="P97" s="20">
        <v>32.645000000000003</v>
      </c>
      <c r="Q97" s="20">
        <v>4.274</v>
      </c>
      <c r="R97" s="21">
        <v>36.919000000000004</v>
      </c>
      <c r="S97" s="20">
        <v>7.016</v>
      </c>
      <c r="T97" s="20">
        <v>7.22</v>
      </c>
      <c r="U97" s="20">
        <v>10.523999999999999</v>
      </c>
      <c r="V97" s="20">
        <v>3.1869999999999998</v>
      </c>
      <c r="W97" s="20">
        <v>4.7290000000000001</v>
      </c>
      <c r="X97" s="20">
        <v>3.2709999999999999</v>
      </c>
      <c r="Y97" s="21">
        <v>8</v>
      </c>
      <c r="Z97" s="20">
        <v>32.101999999999997</v>
      </c>
      <c r="AA97" s="20">
        <v>7.3220000000000001</v>
      </c>
      <c r="AB97" s="20">
        <v>14.8</v>
      </c>
      <c r="AC97" s="20">
        <v>8.0280000000000005</v>
      </c>
      <c r="AD97" s="20">
        <v>7.6790000000000003</v>
      </c>
      <c r="AE97" s="20">
        <v>1.0329999999999999</v>
      </c>
      <c r="AF97" s="20">
        <v>4.9139999999999997</v>
      </c>
      <c r="AG97" s="20">
        <v>1.972032</v>
      </c>
      <c r="AH97" s="20">
        <v>0</v>
      </c>
      <c r="AI97" s="20">
        <v>13.968999999999999</v>
      </c>
      <c r="AJ97" s="20">
        <v>0.54900000000000004</v>
      </c>
      <c r="AK97" s="20">
        <v>0.36199999999999999</v>
      </c>
      <c r="AL97" s="20">
        <v>1.1879999999999999</v>
      </c>
      <c r="AM97" s="20">
        <v>0</v>
      </c>
      <c r="AN97" s="20">
        <v>0.40799999999999997</v>
      </c>
      <c r="AO97" s="20">
        <v>0.63500000000000001</v>
      </c>
      <c r="AP97" s="20">
        <v>1.575</v>
      </c>
      <c r="AQ97" s="20">
        <v>9.9589999999999979</v>
      </c>
      <c r="AR97" s="22">
        <f t="shared" si="15"/>
        <v>500.44303200000007</v>
      </c>
    </row>
    <row r="98" spans="1:44" s="14" customFormat="1" collapsed="1" x14ac:dyDescent="0.3">
      <c r="A98" s="45" t="s">
        <v>39</v>
      </c>
      <c r="B98" s="24">
        <f>SUM(B86:B97)</f>
        <v>661.37199999999996</v>
      </c>
      <c r="C98" s="24">
        <f>SUM(C86:C97)</f>
        <v>400.71999999999997</v>
      </c>
      <c r="D98" s="24">
        <f t="shared" ref="D98:AR98" si="16">SUM(D86:D97)</f>
        <v>260.65200000000004</v>
      </c>
      <c r="E98" s="24">
        <f t="shared" si="16"/>
        <v>170.60700000000003</v>
      </c>
      <c r="F98" s="24">
        <f t="shared" si="16"/>
        <v>56.302000000000007</v>
      </c>
      <c r="G98" s="24">
        <f t="shared" si="16"/>
        <v>184.43799999999999</v>
      </c>
      <c r="H98" s="24">
        <f t="shared" si="16"/>
        <v>443.22199999999998</v>
      </c>
      <c r="I98" s="24">
        <f t="shared" si="16"/>
        <v>102.07899999999999</v>
      </c>
      <c r="J98" s="25">
        <f t="shared" si="16"/>
        <v>1618.0199999999998</v>
      </c>
      <c r="K98" s="24">
        <f t="shared" si="16"/>
        <v>1187.3159999999998</v>
      </c>
      <c r="L98" s="24">
        <f>SUM(L86:L97)</f>
        <v>146.655</v>
      </c>
      <c r="M98" s="24">
        <f>SUM(M86:M97)</f>
        <v>68.884</v>
      </c>
      <c r="N98" s="24">
        <f>SUM(N86:N97)</f>
        <v>73.868000000000009</v>
      </c>
      <c r="O98" s="24">
        <f t="shared" si="16"/>
        <v>629.09900000000005</v>
      </c>
      <c r="P98" s="24">
        <f t="shared" si="16"/>
        <v>324.71899999999999</v>
      </c>
      <c r="Q98" s="24">
        <f t="shared" si="16"/>
        <v>45.814999999999998</v>
      </c>
      <c r="R98" s="26">
        <f t="shared" si="16"/>
        <v>370.53399999999999</v>
      </c>
      <c r="S98" s="24">
        <f t="shared" si="16"/>
        <v>71.893454000000006</v>
      </c>
      <c r="T98" s="24">
        <f t="shared" si="16"/>
        <v>94.782000000000011</v>
      </c>
      <c r="U98" s="24">
        <f>SUM(U86:U97)</f>
        <v>126.42999999999998</v>
      </c>
      <c r="V98" s="24">
        <f>SUM(V86:V97)</f>
        <v>27.604000000000003</v>
      </c>
      <c r="W98" s="24">
        <f t="shared" si="16"/>
        <v>41.981999999999992</v>
      </c>
      <c r="X98" s="24">
        <f t="shared" si="16"/>
        <v>36.640999999999998</v>
      </c>
      <c r="Y98" s="26">
        <f t="shared" si="16"/>
        <v>78.623000000000005</v>
      </c>
      <c r="Z98" s="24">
        <f>SUM(Z86:Z97)</f>
        <v>372.05599999999993</v>
      </c>
      <c r="AA98" s="24">
        <f t="shared" si="16"/>
        <v>96.481000000000009</v>
      </c>
      <c r="AB98" s="24">
        <f>SUM(AB86:AB97)</f>
        <v>153.506</v>
      </c>
      <c r="AC98" s="24">
        <f t="shared" si="16"/>
        <v>93.315000000000012</v>
      </c>
      <c r="AD98" s="24">
        <f>SUM(AD86:AD97)</f>
        <v>79.274000000000001</v>
      </c>
      <c r="AE98" s="24">
        <f t="shared" si="16"/>
        <v>13.365999999999998</v>
      </c>
      <c r="AF98" s="24">
        <f>SUM(AF86:AF97)</f>
        <v>57.384000000000007</v>
      </c>
      <c r="AG98" s="24">
        <f t="shared" si="16"/>
        <v>19.437209999999997</v>
      </c>
      <c r="AH98" s="24">
        <f>SUM(AH86:AH97)</f>
        <v>0</v>
      </c>
      <c r="AI98" s="24">
        <f t="shared" si="16"/>
        <v>156.11699999999999</v>
      </c>
      <c r="AJ98" s="24">
        <f t="shared" si="16"/>
        <v>13.209000000000003</v>
      </c>
      <c r="AK98" s="24">
        <f t="shared" si="16"/>
        <v>4.883</v>
      </c>
      <c r="AL98" s="24">
        <f t="shared" si="16"/>
        <v>12.501000000000001</v>
      </c>
      <c r="AM98" s="24">
        <f t="shared" si="16"/>
        <v>0.99999999999999989</v>
      </c>
      <c r="AN98" s="24">
        <f t="shared" si="16"/>
        <v>4.7720000000000002</v>
      </c>
      <c r="AO98" s="24">
        <f t="shared" si="16"/>
        <v>7.2249999999999996</v>
      </c>
      <c r="AP98" s="24">
        <f t="shared" si="16"/>
        <v>17.326999999999998</v>
      </c>
      <c r="AQ98" s="24">
        <v>137.50284257999999</v>
      </c>
      <c r="AR98" s="27">
        <f t="shared" si="16"/>
        <v>5733.0645065799999</v>
      </c>
    </row>
    <row r="99" spans="1:44" s="14" customFormat="1" hidden="1" outlineLevel="1" x14ac:dyDescent="0.3">
      <c r="A99" s="44">
        <v>44197</v>
      </c>
      <c r="B99" s="28">
        <f t="shared" ref="B99:B110" si="17">C99+D99</f>
        <v>51.603999999999999</v>
      </c>
      <c r="C99" s="29">
        <v>29.088000000000001</v>
      </c>
      <c r="D99" s="20">
        <v>22.515999999999998</v>
      </c>
      <c r="E99" s="20">
        <v>17.82</v>
      </c>
      <c r="F99" s="20">
        <v>4.4619999999999997</v>
      </c>
      <c r="G99" s="20">
        <v>13.638999999999999</v>
      </c>
      <c r="H99" s="20">
        <v>39.124000000000002</v>
      </c>
      <c r="I99" s="20">
        <v>6.399</v>
      </c>
      <c r="J99" s="23">
        <v>133.048</v>
      </c>
      <c r="K99" s="20">
        <v>84.668999999999997</v>
      </c>
      <c r="L99" s="20">
        <v>11.6</v>
      </c>
      <c r="M99" s="20">
        <v>4.4909999999999997</v>
      </c>
      <c r="N99" s="20">
        <v>5.4</v>
      </c>
      <c r="O99" s="20">
        <v>57.029000000000003</v>
      </c>
      <c r="P99" s="20">
        <v>24.529</v>
      </c>
      <c r="Q99" s="20">
        <v>3.7240000000000002</v>
      </c>
      <c r="R99" s="21">
        <v>28.253</v>
      </c>
      <c r="S99" s="20">
        <v>6.7460000000000004</v>
      </c>
      <c r="T99" s="20">
        <v>9</v>
      </c>
      <c r="U99" s="20">
        <v>8.7609999999999992</v>
      </c>
      <c r="V99" s="20">
        <v>2.335</v>
      </c>
      <c r="W99" s="20">
        <v>3.7050000000000001</v>
      </c>
      <c r="X99" s="20">
        <v>3.1440000000000001</v>
      </c>
      <c r="Y99" s="21">
        <v>6.8490000000000002</v>
      </c>
      <c r="Z99" s="20">
        <v>28.8</v>
      </c>
      <c r="AA99" s="20">
        <v>7.298</v>
      </c>
      <c r="AB99" s="20">
        <v>16</v>
      </c>
      <c r="AC99" s="20">
        <v>7.8330000000000002</v>
      </c>
      <c r="AD99" s="20">
        <v>6.8120000000000003</v>
      </c>
      <c r="AE99" s="20">
        <v>1</v>
      </c>
      <c r="AF99" s="20">
        <v>4.4450000000000003</v>
      </c>
      <c r="AG99" s="20">
        <v>1.7197159999999998</v>
      </c>
      <c r="AH99" s="20">
        <v>0</v>
      </c>
      <c r="AI99" s="20">
        <v>11.565</v>
      </c>
      <c r="AJ99" s="20">
        <v>1.0129999999999999</v>
      </c>
      <c r="AK99" s="20">
        <v>0.30499999999999999</v>
      </c>
      <c r="AL99" s="20">
        <v>1.0880000000000001</v>
      </c>
      <c r="AM99" s="20">
        <v>0</v>
      </c>
      <c r="AN99" s="20">
        <v>0.38700000000000001</v>
      </c>
      <c r="AO99" s="20">
        <v>0.70399999999999996</v>
      </c>
      <c r="AP99" s="20">
        <v>1.33</v>
      </c>
      <c r="AQ99" s="20">
        <v>9.3328769999999999</v>
      </c>
      <c r="AR99" s="22">
        <f t="shared" ref="AR99:AR110" si="18">SUM(E99:I99,B99,K99:Q99,S99:X99,Z99:AQ99)</f>
        <v>457.81359300000003</v>
      </c>
    </row>
    <row r="100" spans="1:44" s="14" customFormat="1" hidden="1" outlineLevel="1" x14ac:dyDescent="0.3">
      <c r="A100" s="44">
        <v>44228</v>
      </c>
      <c r="B100" s="28">
        <f t="shared" si="17"/>
        <v>41.564</v>
      </c>
      <c r="C100" s="29">
        <v>22.766999999999999</v>
      </c>
      <c r="D100" s="20">
        <v>18.797000000000001</v>
      </c>
      <c r="E100" s="20">
        <v>17.931999999999999</v>
      </c>
      <c r="F100" s="20">
        <v>4.6479999999999997</v>
      </c>
      <c r="G100" s="20">
        <v>13.677</v>
      </c>
      <c r="H100" s="20">
        <v>32.277999999999999</v>
      </c>
      <c r="I100" s="20">
        <v>4.3879999999999999</v>
      </c>
      <c r="J100" s="23">
        <v>114.48699999999999</v>
      </c>
      <c r="K100" s="20">
        <v>81.611999999999995</v>
      </c>
      <c r="L100" s="20">
        <v>12</v>
      </c>
      <c r="M100" s="20">
        <v>5.008</v>
      </c>
      <c r="N100" s="20">
        <v>5</v>
      </c>
      <c r="O100" s="20">
        <v>52.79</v>
      </c>
      <c r="P100" s="20">
        <v>24.097999999999999</v>
      </c>
      <c r="Q100" s="20">
        <v>3.0680000000000001</v>
      </c>
      <c r="R100" s="21">
        <v>27.166</v>
      </c>
      <c r="S100" s="20">
        <v>5.8929999999999998</v>
      </c>
      <c r="T100" s="20">
        <v>7.5529999999999999</v>
      </c>
      <c r="U100" s="20">
        <v>10.577</v>
      </c>
      <c r="V100" s="20">
        <v>2.3109999999999999</v>
      </c>
      <c r="W100" s="20">
        <v>3.0619999999999998</v>
      </c>
      <c r="X100" s="20">
        <v>2.7509999999999999</v>
      </c>
      <c r="Y100" s="21">
        <v>5.8129999999999997</v>
      </c>
      <c r="Z100" s="20">
        <v>26.593</v>
      </c>
      <c r="AA100" s="20">
        <v>7.4630000000000001</v>
      </c>
      <c r="AB100" s="20">
        <v>12.8</v>
      </c>
      <c r="AC100" s="20">
        <v>6.5060000000000002</v>
      </c>
      <c r="AD100" s="20">
        <v>6.4459999999999997</v>
      </c>
      <c r="AE100" s="20">
        <v>0.9</v>
      </c>
      <c r="AF100" s="20">
        <v>3.7309999999999999</v>
      </c>
      <c r="AG100" s="20">
        <v>1.7441790000000001</v>
      </c>
      <c r="AH100" s="20">
        <v>0</v>
      </c>
      <c r="AI100" s="20">
        <v>14.02</v>
      </c>
      <c r="AJ100" s="20">
        <v>1.036</v>
      </c>
      <c r="AK100" s="20">
        <v>0.28899999999999998</v>
      </c>
      <c r="AL100" s="20">
        <v>0.79100000000000004</v>
      </c>
      <c r="AM100" s="20">
        <v>0</v>
      </c>
      <c r="AN100" s="20">
        <v>0.374</v>
      </c>
      <c r="AO100" s="20">
        <v>0.65500000000000003</v>
      </c>
      <c r="AP100" s="20">
        <v>1.3657439999999998</v>
      </c>
      <c r="AQ100" s="20">
        <v>11.523736000000001</v>
      </c>
      <c r="AR100" s="22">
        <f t="shared" si="18"/>
        <v>426.44765899999993</v>
      </c>
    </row>
    <row r="101" spans="1:44" s="14" customFormat="1" hidden="1" outlineLevel="1" x14ac:dyDescent="0.3">
      <c r="A101" s="44">
        <v>44256</v>
      </c>
      <c r="B101" s="28">
        <f t="shared" si="17"/>
        <v>57.301000000000002</v>
      </c>
      <c r="C101" s="29">
        <v>32.661999999999999</v>
      </c>
      <c r="D101" s="20">
        <v>24.638999999999999</v>
      </c>
      <c r="E101" s="20">
        <v>16.608000000000001</v>
      </c>
      <c r="F101" s="20">
        <v>4.8689999999999998</v>
      </c>
      <c r="G101" s="20">
        <v>17.420999999999999</v>
      </c>
      <c r="H101" s="20">
        <v>37.582000000000001</v>
      </c>
      <c r="I101" s="20">
        <v>4.9829999999999997</v>
      </c>
      <c r="J101" s="23">
        <v>138.76400000000001</v>
      </c>
      <c r="K101" s="20">
        <v>89.947000000000003</v>
      </c>
      <c r="L101" s="20">
        <v>14.9</v>
      </c>
      <c r="M101" s="20">
        <v>4.5410000000000004</v>
      </c>
      <c r="N101" s="20">
        <v>5.4</v>
      </c>
      <c r="O101" s="20">
        <v>53.021000000000001</v>
      </c>
      <c r="P101" s="20">
        <v>30.116</v>
      </c>
      <c r="Q101" s="20">
        <v>3.101</v>
      </c>
      <c r="R101" s="21">
        <v>33.216999999999999</v>
      </c>
      <c r="S101" s="20">
        <v>6.609</v>
      </c>
      <c r="T101" s="20">
        <v>9.4870000000000001</v>
      </c>
      <c r="U101" s="20">
        <v>10.000999999999999</v>
      </c>
      <c r="V101" s="20">
        <v>2.343</v>
      </c>
      <c r="W101" s="20">
        <v>3.7709999999999999</v>
      </c>
      <c r="X101" s="20">
        <v>3.5910000000000002</v>
      </c>
      <c r="Y101" s="21">
        <v>7.3620000000000001</v>
      </c>
      <c r="Z101" s="20">
        <v>32.450000000000003</v>
      </c>
      <c r="AA101" s="20">
        <v>7.3760000000000003</v>
      </c>
      <c r="AB101" s="20">
        <v>16.5</v>
      </c>
      <c r="AC101" s="20">
        <v>7.1779999999999999</v>
      </c>
      <c r="AD101" s="20">
        <v>6.9740000000000002</v>
      </c>
      <c r="AE101" s="20">
        <v>1</v>
      </c>
      <c r="AF101" s="20">
        <v>3.9830000000000001</v>
      </c>
      <c r="AG101" s="20">
        <v>1.8618810000000001</v>
      </c>
      <c r="AH101" s="20">
        <v>0</v>
      </c>
      <c r="AI101" s="20">
        <v>18.059999999999999</v>
      </c>
      <c r="AJ101" s="20">
        <v>0.94299999999999995</v>
      </c>
      <c r="AK101" s="20">
        <v>0.307</v>
      </c>
      <c r="AL101" s="20">
        <v>0.67200000000000004</v>
      </c>
      <c r="AM101" s="20">
        <v>0</v>
      </c>
      <c r="AN101" s="20">
        <v>0.38700000000000001</v>
      </c>
      <c r="AO101" s="20">
        <v>0.61</v>
      </c>
      <c r="AP101" s="20">
        <v>1.6147539999999998</v>
      </c>
      <c r="AQ101" s="20">
        <v>13.293981000000002</v>
      </c>
      <c r="AR101" s="22">
        <f t="shared" si="18"/>
        <v>488.80261600000006</v>
      </c>
    </row>
    <row r="102" spans="1:44" s="14" customFormat="1" hidden="1" outlineLevel="1" x14ac:dyDescent="0.3">
      <c r="A102" s="44">
        <v>44287</v>
      </c>
      <c r="B102" s="28">
        <f t="shared" si="17"/>
        <v>48.301000000000002</v>
      </c>
      <c r="C102" s="29">
        <v>25.605</v>
      </c>
      <c r="D102" s="20">
        <v>22.696000000000002</v>
      </c>
      <c r="E102" s="20">
        <v>15.362</v>
      </c>
      <c r="F102" s="20">
        <v>4.2080000000000002</v>
      </c>
      <c r="G102" s="20">
        <v>11.804</v>
      </c>
      <c r="H102" s="20">
        <v>36.139000000000003</v>
      </c>
      <c r="I102" s="20">
        <v>7.9169999999999998</v>
      </c>
      <c r="J102" s="23">
        <v>123.73100000000001</v>
      </c>
      <c r="K102" s="20">
        <v>85.661000000000001</v>
      </c>
      <c r="L102" s="20">
        <v>16.100000000000001</v>
      </c>
      <c r="M102" s="20">
        <v>4.8879999999999999</v>
      </c>
      <c r="N102" s="20">
        <v>5.2</v>
      </c>
      <c r="O102" s="20">
        <v>57.021999999999998</v>
      </c>
      <c r="P102" s="20">
        <v>26.765000000000001</v>
      </c>
      <c r="Q102" s="20">
        <v>3.26</v>
      </c>
      <c r="R102" s="21">
        <v>30.024999999999999</v>
      </c>
      <c r="S102" s="20">
        <v>6.0609999999999999</v>
      </c>
      <c r="T102" s="20">
        <v>8.9870000000000001</v>
      </c>
      <c r="U102" s="20">
        <v>9.7780000000000005</v>
      </c>
      <c r="V102" s="20">
        <v>2.6059999999999999</v>
      </c>
      <c r="W102" s="20">
        <v>4.1509999999999998</v>
      </c>
      <c r="X102" s="20">
        <v>3.681</v>
      </c>
      <c r="Y102" s="21">
        <v>7.8319999999999999</v>
      </c>
      <c r="Z102" s="20">
        <v>29.248999999999999</v>
      </c>
      <c r="AA102" s="20">
        <v>6.1079999999999997</v>
      </c>
      <c r="AB102" s="20">
        <v>15.9</v>
      </c>
      <c r="AC102" s="20">
        <v>5.0039999999999996</v>
      </c>
      <c r="AD102" s="20">
        <v>6.1820000000000004</v>
      </c>
      <c r="AE102" s="20">
        <v>1</v>
      </c>
      <c r="AF102" s="20">
        <v>3.0880000000000001</v>
      </c>
      <c r="AG102" s="20">
        <v>2.0556030000000001</v>
      </c>
      <c r="AH102" s="20">
        <v>0</v>
      </c>
      <c r="AI102" s="20">
        <v>18.728999999999999</v>
      </c>
      <c r="AJ102" s="20">
        <v>1.0269999999999999</v>
      </c>
      <c r="AK102" s="20">
        <v>0.35599999999999998</v>
      </c>
      <c r="AL102" s="20">
        <v>0.82099999999999995</v>
      </c>
      <c r="AM102" s="20">
        <v>0</v>
      </c>
      <c r="AN102" s="20">
        <v>0.434</v>
      </c>
      <c r="AO102" s="20">
        <v>0.60399999999999998</v>
      </c>
      <c r="AP102" s="20">
        <v>1.6144470000000002</v>
      </c>
      <c r="AQ102" s="20">
        <v>11.064658039999999</v>
      </c>
      <c r="AR102" s="22">
        <f t="shared" si="18"/>
        <v>461.12770804000002</v>
      </c>
    </row>
    <row r="103" spans="1:44" s="14" customFormat="1" hidden="1" outlineLevel="1" x14ac:dyDescent="0.3">
      <c r="A103" s="44">
        <v>44317</v>
      </c>
      <c r="B103" s="28">
        <f t="shared" si="17"/>
        <v>51.099000000000004</v>
      </c>
      <c r="C103" s="29">
        <v>25.876999999999999</v>
      </c>
      <c r="D103" s="20">
        <v>25.222000000000001</v>
      </c>
      <c r="E103" s="20">
        <v>16.225999999999999</v>
      </c>
      <c r="F103" s="20">
        <v>3.6739999999999999</v>
      </c>
      <c r="G103" s="20">
        <v>18.018000000000001</v>
      </c>
      <c r="H103" s="20">
        <v>44.061999999999998</v>
      </c>
      <c r="I103" s="20">
        <v>10.228</v>
      </c>
      <c r="J103" s="23">
        <v>143.30699999999999</v>
      </c>
      <c r="K103" s="20">
        <v>84.742999999999995</v>
      </c>
      <c r="L103" s="20">
        <v>19.8</v>
      </c>
      <c r="M103" s="20">
        <v>5.1790000000000003</v>
      </c>
      <c r="N103" s="20">
        <v>5.7</v>
      </c>
      <c r="O103" s="20">
        <v>57.924999999999997</v>
      </c>
      <c r="P103" s="20">
        <v>27.02</v>
      </c>
      <c r="Q103" s="20">
        <v>4.4359999999999999</v>
      </c>
      <c r="R103" s="21">
        <v>31.456</v>
      </c>
      <c r="S103" s="20">
        <v>5.8639999999999999</v>
      </c>
      <c r="T103" s="20">
        <v>10.093</v>
      </c>
      <c r="U103" s="20">
        <v>8.968</v>
      </c>
      <c r="V103" s="20">
        <v>2.286</v>
      </c>
      <c r="W103" s="20">
        <v>4.0549999999999997</v>
      </c>
      <c r="X103" s="20">
        <v>3.77</v>
      </c>
      <c r="Y103" s="21">
        <v>7.8249999999999993</v>
      </c>
      <c r="Z103" s="20">
        <v>28.451000000000001</v>
      </c>
      <c r="AA103" s="20">
        <v>7.0730000000000004</v>
      </c>
      <c r="AB103" s="20">
        <v>14.5</v>
      </c>
      <c r="AC103" s="20">
        <v>7.3029999999999999</v>
      </c>
      <c r="AD103" s="20">
        <v>7.0359999999999996</v>
      </c>
      <c r="AE103" s="20">
        <v>1</v>
      </c>
      <c r="AF103" s="20">
        <v>3.7970000000000002</v>
      </c>
      <c r="AG103" s="20">
        <v>2.1020949999999998</v>
      </c>
      <c r="AH103" s="20">
        <v>0</v>
      </c>
      <c r="AI103" s="20">
        <v>16.579999999999998</v>
      </c>
      <c r="AJ103" s="20">
        <v>1.0980000000000001</v>
      </c>
      <c r="AK103" s="20">
        <v>0.32800000000000001</v>
      </c>
      <c r="AL103" s="20">
        <v>0.80100000000000005</v>
      </c>
      <c r="AM103" s="20">
        <v>0</v>
      </c>
      <c r="AN103" s="20">
        <v>0.39600000000000002</v>
      </c>
      <c r="AO103" s="20">
        <v>0.501</v>
      </c>
      <c r="AP103" s="20">
        <v>1.5935109999999999</v>
      </c>
      <c r="AQ103" s="20">
        <v>11.325443999999999</v>
      </c>
      <c r="AR103" s="22">
        <f t="shared" si="18"/>
        <v>487.03104999999994</v>
      </c>
    </row>
    <row r="104" spans="1:44" s="14" customFormat="1" hidden="1" outlineLevel="1" x14ac:dyDescent="0.3">
      <c r="A104" s="44">
        <v>44348</v>
      </c>
      <c r="B104" s="28">
        <f t="shared" si="17"/>
        <v>59.612000000000002</v>
      </c>
      <c r="C104" s="29">
        <v>35.576000000000001</v>
      </c>
      <c r="D104" s="20">
        <v>24.036000000000001</v>
      </c>
      <c r="E104" s="20">
        <v>14.868</v>
      </c>
      <c r="F104" s="20">
        <v>4.8780000000000001</v>
      </c>
      <c r="G104" s="20">
        <v>16.928000000000001</v>
      </c>
      <c r="H104" s="20">
        <v>37.311</v>
      </c>
      <c r="I104" s="20">
        <v>8.6039999999999992</v>
      </c>
      <c r="J104" s="23">
        <v>142.20100000000002</v>
      </c>
      <c r="K104" s="20">
        <v>82.971999999999994</v>
      </c>
      <c r="L104" s="20">
        <v>19.8</v>
      </c>
      <c r="M104" s="20">
        <v>4.5990000000000002</v>
      </c>
      <c r="N104" s="20">
        <v>5.4</v>
      </c>
      <c r="O104" s="20">
        <v>53.82</v>
      </c>
      <c r="P104" s="20">
        <v>30.539000000000001</v>
      </c>
      <c r="Q104" s="20">
        <v>3.3180000000000001</v>
      </c>
      <c r="R104" s="21">
        <v>33.856999999999999</v>
      </c>
      <c r="S104" s="20">
        <v>5.4359999999999999</v>
      </c>
      <c r="T104" s="20">
        <v>8.1780000000000008</v>
      </c>
      <c r="U104" s="20">
        <v>7.734</v>
      </c>
      <c r="V104" s="20">
        <v>2.609</v>
      </c>
      <c r="W104" s="20">
        <v>3.444</v>
      </c>
      <c r="X104" s="20">
        <v>4.21</v>
      </c>
      <c r="Y104" s="21">
        <v>7.6539999999999999</v>
      </c>
      <c r="Z104" s="20">
        <v>29.869</v>
      </c>
      <c r="AA104" s="20">
        <v>5.9660000000000002</v>
      </c>
      <c r="AB104" s="20">
        <v>14.7</v>
      </c>
      <c r="AC104" s="20">
        <v>7.8650000000000002</v>
      </c>
      <c r="AD104" s="20">
        <v>6.0019999999999998</v>
      </c>
      <c r="AE104" s="20">
        <v>1</v>
      </c>
      <c r="AF104" s="20">
        <v>3.9510000000000001</v>
      </c>
      <c r="AG104" s="20">
        <v>2.0541670000000001</v>
      </c>
      <c r="AH104" s="20">
        <v>0</v>
      </c>
      <c r="AI104" s="20">
        <v>18.597999999999999</v>
      </c>
      <c r="AJ104" s="20">
        <v>0.99099999999999999</v>
      </c>
      <c r="AK104" s="20">
        <v>0.35099999999999998</v>
      </c>
      <c r="AL104" s="20">
        <v>0.85199999999999998</v>
      </c>
      <c r="AM104" s="20">
        <v>0</v>
      </c>
      <c r="AN104" s="20">
        <v>0.36799999999999999</v>
      </c>
      <c r="AO104" s="20">
        <v>0.60599999999999998</v>
      </c>
      <c r="AP104" s="20">
        <v>1.642922</v>
      </c>
      <c r="AQ104" s="20">
        <v>8.2788159999999991</v>
      </c>
      <c r="AR104" s="22">
        <f t="shared" si="18"/>
        <v>477.35490499999992</v>
      </c>
    </row>
    <row r="105" spans="1:44" s="14" customFormat="1" hidden="1" outlineLevel="1" x14ac:dyDescent="0.3">
      <c r="A105" s="44">
        <v>44378</v>
      </c>
      <c r="B105" s="28">
        <f t="shared" si="17"/>
        <v>36.905000000000001</v>
      </c>
      <c r="C105" s="29">
        <v>13.678000000000001</v>
      </c>
      <c r="D105" s="20">
        <v>23.227</v>
      </c>
      <c r="E105" s="20">
        <v>16.5</v>
      </c>
      <c r="F105" s="20">
        <v>3.8620000000000001</v>
      </c>
      <c r="G105" s="20">
        <v>19.516999999999999</v>
      </c>
      <c r="H105" s="20">
        <v>41.2</v>
      </c>
      <c r="I105" s="20">
        <v>10.068</v>
      </c>
      <c r="J105" s="23">
        <v>128.05200000000002</v>
      </c>
      <c r="K105" s="20">
        <v>86.257999999999996</v>
      </c>
      <c r="L105" s="20">
        <v>17.7</v>
      </c>
      <c r="M105" s="20">
        <v>4.5549999999999997</v>
      </c>
      <c r="N105" s="20">
        <v>5.5</v>
      </c>
      <c r="O105" s="20">
        <v>54.03</v>
      </c>
      <c r="P105" s="20">
        <v>26.300999999999998</v>
      </c>
      <c r="Q105" s="20">
        <v>4.4269999999999996</v>
      </c>
      <c r="R105" s="21">
        <v>30.727999999999998</v>
      </c>
      <c r="S105" s="20">
        <v>5.5039999999999996</v>
      </c>
      <c r="T105" s="20">
        <v>9.2680000000000007</v>
      </c>
      <c r="U105" s="20">
        <v>10.492000000000001</v>
      </c>
      <c r="V105" s="20">
        <v>2.121</v>
      </c>
      <c r="W105" s="20">
        <v>4.2699999999999996</v>
      </c>
      <c r="X105" s="20">
        <v>4.3</v>
      </c>
      <c r="Y105" s="21">
        <v>8.57</v>
      </c>
      <c r="Z105" s="20">
        <v>27.911000000000001</v>
      </c>
      <c r="AA105" s="20">
        <v>6.8789999999999996</v>
      </c>
      <c r="AB105" s="20">
        <v>14.8</v>
      </c>
      <c r="AC105" s="20">
        <v>7.7249999999999996</v>
      </c>
      <c r="AD105" s="20">
        <v>5.202</v>
      </c>
      <c r="AE105" s="20">
        <v>0.9</v>
      </c>
      <c r="AF105" s="20">
        <v>3.84</v>
      </c>
      <c r="AG105" s="20">
        <v>1.9501379999999999</v>
      </c>
      <c r="AH105" s="20">
        <v>0</v>
      </c>
      <c r="AI105" s="20">
        <v>17.393999999999998</v>
      </c>
      <c r="AJ105" s="20">
        <v>1.125</v>
      </c>
      <c r="AK105" s="20">
        <v>0.39300000000000002</v>
      </c>
      <c r="AL105" s="20">
        <v>0.88700000000000001</v>
      </c>
      <c r="AM105" s="20">
        <v>0</v>
      </c>
      <c r="AN105" s="20">
        <v>0.36099999999999999</v>
      </c>
      <c r="AO105" s="20">
        <v>0.6</v>
      </c>
      <c r="AP105" s="20">
        <v>1.8147880000000001</v>
      </c>
      <c r="AQ105" s="20">
        <v>10.465720999999998</v>
      </c>
      <c r="AR105" s="22">
        <f t="shared" si="18"/>
        <v>465.02564699999999</v>
      </c>
    </row>
    <row r="106" spans="1:44" s="14" customFormat="1" hidden="1" outlineLevel="1" x14ac:dyDescent="0.3">
      <c r="A106" s="44">
        <v>44409</v>
      </c>
      <c r="B106" s="28">
        <f t="shared" si="17"/>
        <v>60.13</v>
      </c>
      <c r="C106" s="29">
        <v>30.341000000000001</v>
      </c>
      <c r="D106" s="20">
        <v>29.789000000000001</v>
      </c>
      <c r="E106" s="20">
        <v>15.951000000000001</v>
      </c>
      <c r="F106" s="20">
        <v>4.3970000000000002</v>
      </c>
      <c r="G106" s="20">
        <v>8.1829999999999998</v>
      </c>
      <c r="H106" s="20">
        <v>39.375</v>
      </c>
      <c r="I106" s="20">
        <v>7.4130000000000003</v>
      </c>
      <c r="J106" s="23">
        <v>135.44900000000001</v>
      </c>
      <c r="K106" s="20">
        <v>81.555999999999997</v>
      </c>
      <c r="L106" s="20">
        <v>19.7</v>
      </c>
      <c r="M106" s="20">
        <v>4.351</v>
      </c>
      <c r="N106" s="20">
        <v>5.0999999999999996</v>
      </c>
      <c r="O106" s="20">
        <v>48.14</v>
      </c>
      <c r="P106" s="20">
        <v>27.85</v>
      </c>
      <c r="Q106" s="20">
        <v>3.8769999999999998</v>
      </c>
      <c r="R106" s="21">
        <v>31.727</v>
      </c>
      <c r="S106" s="20">
        <v>5.5919999999999996</v>
      </c>
      <c r="T106" s="20">
        <v>9.3989999999999991</v>
      </c>
      <c r="U106" s="20">
        <v>3.7879999999999998</v>
      </c>
      <c r="V106" s="20">
        <v>2.0049999999999999</v>
      </c>
      <c r="W106" s="20">
        <v>4.258</v>
      </c>
      <c r="X106" s="20">
        <v>4.2300000000000004</v>
      </c>
      <c r="Y106" s="21">
        <v>8.4879999999999995</v>
      </c>
      <c r="Z106" s="20">
        <v>30.116</v>
      </c>
      <c r="AA106" s="20">
        <v>7.4550000000000001</v>
      </c>
      <c r="AB106" s="20">
        <v>16.399999999999999</v>
      </c>
      <c r="AC106" s="20">
        <v>7.6020000000000003</v>
      </c>
      <c r="AD106" s="20">
        <v>6.54</v>
      </c>
      <c r="AE106" s="20">
        <v>0.9</v>
      </c>
      <c r="AF106" s="20">
        <v>4.109</v>
      </c>
      <c r="AG106" s="20">
        <v>1.855081</v>
      </c>
      <c r="AH106" s="20">
        <v>0</v>
      </c>
      <c r="AI106" s="20">
        <v>15.683</v>
      </c>
      <c r="AJ106" s="20">
        <v>0.94299999999999995</v>
      </c>
      <c r="AK106" s="20">
        <v>0.37</v>
      </c>
      <c r="AL106" s="20">
        <v>0.93600000000000005</v>
      </c>
      <c r="AM106" s="20">
        <v>0</v>
      </c>
      <c r="AN106" s="20">
        <v>0.378</v>
      </c>
      <c r="AO106" s="20">
        <v>0.52</v>
      </c>
      <c r="AP106" s="20">
        <v>1.699892</v>
      </c>
      <c r="AQ106" s="20">
        <v>12.086239000000001</v>
      </c>
      <c r="AR106" s="22">
        <f t="shared" si="18"/>
        <v>462.88821199999978</v>
      </c>
    </row>
    <row r="107" spans="1:44" s="14" customFormat="1" hidden="1" outlineLevel="1" x14ac:dyDescent="0.3">
      <c r="A107" s="44">
        <v>44440</v>
      </c>
      <c r="B107" s="28">
        <f t="shared" si="17"/>
        <v>55.441000000000003</v>
      </c>
      <c r="C107" s="29">
        <v>23.818000000000001</v>
      </c>
      <c r="D107" s="20">
        <v>31.623000000000001</v>
      </c>
      <c r="E107" s="20">
        <v>12.702</v>
      </c>
      <c r="F107" s="20">
        <v>3.8860000000000001</v>
      </c>
      <c r="G107" s="20">
        <v>10.15</v>
      </c>
      <c r="H107" s="20">
        <v>34.808999999999997</v>
      </c>
      <c r="I107" s="20">
        <v>8.8049999999999997</v>
      </c>
      <c r="J107" s="23">
        <v>125.79300000000001</v>
      </c>
      <c r="K107" s="20">
        <v>82.605999999999995</v>
      </c>
      <c r="L107" s="20">
        <v>17.600000000000001</v>
      </c>
      <c r="M107" s="20">
        <v>4.484</v>
      </c>
      <c r="N107" s="20">
        <v>5.0999999999999996</v>
      </c>
      <c r="O107" s="20">
        <v>46.137</v>
      </c>
      <c r="P107" s="20">
        <v>25.536999999999999</v>
      </c>
      <c r="Q107" s="20">
        <v>3.278</v>
      </c>
      <c r="R107" s="21">
        <v>28.814999999999998</v>
      </c>
      <c r="S107" s="20">
        <v>4.4749999999999996</v>
      </c>
      <c r="T107" s="20">
        <v>9.4209999999999994</v>
      </c>
      <c r="U107" s="20">
        <v>6.9749999999999996</v>
      </c>
      <c r="V107" s="20">
        <v>2.484</v>
      </c>
      <c r="W107" s="20">
        <v>4.0570000000000004</v>
      </c>
      <c r="X107" s="20">
        <v>4.8460000000000001</v>
      </c>
      <c r="Y107" s="21">
        <v>8.9030000000000005</v>
      </c>
      <c r="Z107" s="20">
        <v>26.015000000000001</v>
      </c>
      <c r="AA107" s="20">
        <v>7.6180000000000003</v>
      </c>
      <c r="AB107" s="20">
        <v>16.399999999999999</v>
      </c>
      <c r="AC107" s="20">
        <v>7.8330000000000002</v>
      </c>
      <c r="AD107" s="20">
        <v>6.5309999999999997</v>
      </c>
      <c r="AE107" s="20">
        <v>1</v>
      </c>
      <c r="AF107" s="20">
        <v>3.6419999999999999</v>
      </c>
      <c r="AG107" s="20">
        <v>1.1258979999999998</v>
      </c>
      <c r="AH107" s="20">
        <v>0</v>
      </c>
      <c r="AI107" s="20">
        <v>18.294</v>
      </c>
      <c r="AJ107" s="20">
        <v>0.88400000000000001</v>
      </c>
      <c r="AK107" s="20">
        <v>0.375</v>
      </c>
      <c r="AL107" s="20">
        <v>1.0149999999999999</v>
      </c>
      <c r="AM107" s="20">
        <v>0</v>
      </c>
      <c r="AN107" s="20">
        <v>0.35899999999999999</v>
      </c>
      <c r="AO107" s="20">
        <v>0.5</v>
      </c>
      <c r="AP107" s="20">
        <v>1.607116</v>
      </c>
      <c r="AQ107" s="20">
        <v>11.377262</v>
      </c>
      <c r="AR107" s="22">
        <f t="shared" si="18"/>
        <v>447.36927600000001</v>
      </c>
    </row>
    <row r="108" spans="1:44" s="14" customFormat="1" hidden="1" outlineLevel="1" x14ac:dyDescent="0.3">
      <c r="A108" s="44">
        <v>44470</v>
      </c>
      <c r="B108" s="28">
        <f t="shared" si="17"/>
        <v>53.090999999999994</v>
      </c>
      <c r="C108" s="29">
        <v>18.940999999999999</v>
      </c>
      <c r="D108" s="20">
        <v>34.15</v>
      </c>
      <c r="E108" s="20">
        <v>12.222</v>
      </c>
      <c r="F108" s="20">
        <v>4.2930000000000001</v>
      </c>
      <c r="G108" s="20">
        <v>17.434000000000001</v>
      </c>
      <c r="H108" s="20">
        <v>37.414000000000001</v>
      </c>
      <c r="I108" s="20">
        <v>9.6159999999999997</v>
      </c>
      <c r="J108" s="23">
        <v>134.07</v>
      </c>
      <c r="K108" s="20">
        <v>84.650999999999996</v>
      </c>
      <c r="L108" s="20">
        <v>23.4</v>
      </c>
      <c r="M108" s="20">
        <v>5.0449999999999999</v>
      </c>
      <c r="N108" s="20">
        <v>5.3</v>
      </c>
      <c r="O108" s="20">
        <v>49.524999999999999</v>
      </c>
      <c r="P108" s="20">
        <v>27.684000000000001</v>
      </c>
      <c r="Q108" s="20">
        <v>3.5289999999999999</v>
      </c>
      <c r="R108" s="21">
        <v>31.213000000000001</v>
      </c>
      <c r="S108" s="20">
        <v>7.7510000000000003</v>
      </c>
      <c r="T108" s="20">
        <v>11.584</v>
      </c>
      <c r="U108" s="20">
        <v>12.675000000000001</v>
      </c>
      <c r="V108" s="20">
        <v>2.4020000000000001</v>
      </c>
      <c r="W108" s="20">
        <v>3.53</v>
      </c>
      <c r="X108" s="20">
        <v>4.92</v>
      </c>
      <c r="Y108" s="21">
        <v>8.4499999999999993</v>
      </c>
      <c r="Z108" s="20">
        <v>20.373000000000001</v>
      </c>
      <c r="AA108" s="20">
        <v>8.0939999999999994</v>
      </c>
      <c r="AB108" s="20">
        <v>14.5</v>
      </c>
      <c r="AC108" s="20">
        <v>8.1140000000000008</v>
      </c>
      <c r="AD108" s="20">
        <v>6.4889999999999999</v>
      </c>
      <c r="AE108" s="20">
        <v>1</v>
      </c>
      <c r="AF108" s="20">
        <v>3.734</v>
      </c>
      <c r="AG108" s="20">
        <v>1.4251530000000001</v>
      </c>
      <c r="AH108" s="20">
        <v>0</v>
      </c>
      <c r="AI108" s="20">
        <v>13.340999999999999</v>
      </c>
      <c r="AJ108" s="20">
        <v>1.1779999999999999</v>
      </c>
      <c r="AK108" s="20">
        <v>0.35299999999999998</v>
      </c>
      <c r="AL108" s="20">
        <v>1.04</v>
      </c>
      <c r="AM108" s="20">
        <v>0</v>
      </c>
      <c r="AN108" s="20">
        <v>0.4</v>
      </c>
      <c r="AO108" s="20">
        <v>0.46400000000000002</v>
      </c>
      <c r="AP108" s="20">
        <v>1.5550650000000001</v>
      </c>
      <c r="AQ108" s="20">
        <v>12.480114</v>
      </c>
      <c r="AR108" s="22">
        <f t="shared" si="18"/>
        <v>470.60633199999995</v>
      </c>
    </row>
    <row r="109" spans="1:44" s="14" customFormat="1" hidden="1" outlineLevel="1" x14ac:dyDescent="0.3">
      <c r="A109" s="44">
        <v>44501</v>
      </c>
      <c r="B109" s="28">
        <f t="shared" si="17"/>
        <v>63.103999999999999</v>
      </c>
      <c r="C109" s="29">
        <v>28.66</v>
      </c>
      <c r="D109" s="20">
        <v>34.444000000000003</v>
      </c>
      <c r="E109" s="20">
        <v>12.704000000000001</v>
      </c>
      <c r="F109" s="20">
        <v>3.363</v>
      </c>
      <c r="G109" s="20">
        <v>12.98</v>
      </c>
      <c r="H109" s="20">
        <v>41.143000000000001</v>
      </c>
      <c r="I109" s="20">
        <v>10.831</v>
      </c>
      <c r="J109" s="23">
        <v>144.125</v>
      </c>
      <c r="K109" s="20">
        <v>80.281000000000006</v>
      </c>
      <c r="L109" s="20">
        <v>17.399999999999999</v>
      </c>
      <c r="M109" s="20">
        <v>5.13</v>
      </c>
      <c r="N109" s="20">
        <v>5.6</v>
      </c>
      <c r="O109" s="20">
        <v>50.664999999999999</v>
      </c>
      <c r="P109" s="20">
        <v>28.29</v>
      </c>
      <c r="Q109" s="20">
        <v>3.7040000000000002</v>
      </c>
      <c r="R109" s="21">
        <v>31.994</v>
      </c>
      <c r="S109" s="20">
        <v>6.7060000000000004</v>
      </c>
      <c r="T109" s="20">
        <v>12.052</v>
      </c>
      <c r="U109" s="20">
        <v>8.827</v>
      </c>
      <c r="V109" s="20">
        <v>2.2229999999999999</v>
      </c>
      <c r="W109" s="20">
        <v>3.5680000000000001</v>
      </c>
      <c r="X109" s="20">
        <v>4.5609999999999999</v>
      </c>
      <c r="Y109" s="21">
        <v>8.1289999999999996</v>
      </c>
      <c r="Z109" s="20">
        <v>29.292000000000002</v>
      </c>
      <c r="AA109" s="20">
        <v>7.7949999999999999</v>
      </c>
      <c r="AB109" s="20">
        <v>16.8</v>
      </c>
      <c r="AC109" s="20">
        <v>7.8769999999999998</v>
      </c>
      <c r="AD109" s="20">
        <v>6.3360000000000003</v>
      </c>
      <c r="AE109" s="20">
        <v>1</v>
      </c>
      <c r="AF109" s="20">
        <v>3.7959999999999998</v>
      </c>
      <c r="AG109" s="20">
        <v>1.6113599999999999</v>
      </c>
      <c r="AH109" s="20">
        <v>0</v>
      </c>
      <c r="AI109" s="20">
        <v>16.791</v>
      </c>
      <c r="AJ109" s="20">
        <v>0.98699999999999999</v>
      </c>
      <c r="AK109" s="20">
        <v>0.376</v>
      </c>
      <c r="AL109" s="20">
        <v>0.96399999999999997</v>
      </c>
      <c r="AM109" s="20">
        <v>0</v>
      </c>
      <c r="AN109" s="20">
        <v>0.36</v>
      </c>
      <c r="AO109" s="20">
        <v>0.46200000000000002</v>
      </c>
      <c r="AP109" s="20">
        <v>1.611094</v>
      </c>
      <c r="AQ109" s="20">
        <v>12.976209000000001</v>
      </c>
      <c r="AR109" s="22">
        <f t="shared" si="18"/>
        <v>482.16666300000009</v>
      </c>
    </row>
    <row r="110" spans="1:44" s="14" customFormat="1" hidden="1" outlineLevel="1" x14ac:dyDescent="0.3">
      <c r="A110" s="44">
        <v>44531</v>
      </c>
      <c r="B110" s="28">
        <f t="shared" si="17"/>
        <v>67.585000000000008</v>
      </c>
      <c r="C110" s="29">
        <v>32.267000000000003</v>
      </c>
      <c r="D110" s="20">
        <v>35.317999999999998</v>
      </c>
      <c r="E110" s="20">
        <v>12.81</v>
      </c>
      <c r="F110" s="20">
        <v>6.3449999999999998</v>
      </c>
      <c r="G110" s="20">
        <v>17.463999999999999</v>
      </c>
      <c r="H110" s="20">
        <v>39.381</v>
      </c>
      <c r="I110" s="20">
        <v>11.657</v>
      </c>
      <c r="J110" s="23">
        <v>155.24200000000002</v>
      </c>
      <c r="K110" s="20">
        <v>86.370999999999995</v>
      </c>
      <c r="L110" s="20">
        <v>13.1</v>
      </c>
      <c r="M110" s="20">
        <v>5.1669999999999998</v>
      </c>
      <c r="N110" s="20">
        <v>5.6</v>
      </c>
      <c r="O110" s="20">
        <v>49.936999999999998</v>
      </c>
      <c r="P110" s="20">
        <v>28.991</v>
      </c>
      <c r="Q110" s="20">
        <v>2.54</v>
      </c>
      <c r="R110" s="21">
        <v>31.530999999999999</v>
      </c>
      <c r="S110" s="20">
        <v>6.0170000000000003</v>
      </c>
      <c r="T110" s="20">
        <v>13.603999999999999</v>
      </c>
      <c r="U110" s="20">
        <v>11.099</v>
      </c>
      <c r="V110" s="20">
        <v>2.1179999999999999</v>
      </c>
      <c r="W110" s="20">
        <v>3.8330000000000002</v>
      </c>
      <c r="X110" s="20">
        <v>5.01</v>
      </c>
      <c r="Y110" s="21">
        <v>8.843</v>
      </c>
      <c r="Z110" s="20">
        <v>27.219000000000001</v>
      </c>
      <c r="AA110" s="20">
        <v>8.9</v>
      </c>
      <c r="AB110" s="20">
        <v>16.100000000000001</v>
      </c>
      <c r="AC110" s="20">
        <v>8.0030000000000001</v>
      </c>
      <c r="AD110" s="20">
        <v>8.0280000000000005</v>
      </c>
      <c r="AE110" s="20">
        <v>0.9</v>
      </c>
      <c r="AF110" s="20">
        <v>2.6629999999999998</v>
      </c>
      <c r="AG110" s="20">
        <v>1.7229319999999999</v>
      </c>
      <c r="AH110" s="20">
        <v>0</v>
      </c>
      <c r="AI110" s="20">
        <v>19.163</v>
      </c>
      <c r="AJ110" s="20">
        <v>0.99</v>
      </c>
      <c r="AK110" s="20">
        <v>0.40699999999999997</v>
      </c>
      <c r="AL110" s="20">
        <v>0.86799999999999999</v>
      </c>
      <c r="AM110" s="20">
        <v>0</v>
      </c>
      <c r="AN110" s="20">
        <v>0.36599999999999999</v>
      </c>
      <c r="AO110" s="20">
        <v>0.47</v>
      </c>
      <c r="AP110" s="20">
        <v>1.724861</v>
      </c>
      <c r="AQ110" s="20">
        <v>12.095457</v>
      </c>
      <c r="AR110" s="22">
        <f t="shared" si="18"/>
        <v>498.24925000000002</v>
      </c>
    </row>
    <row r="111" spans="1:44" s="14" customFormat="1" collapsed="1" x14ac:dyDescent="0.3">
      <c r="A111" s="45" t="s">
        <v>40</v>
      </c>
      <c r="B111" s="24">
        <f>SUM(B99:B110)</f>
        <v>645.73700000000008</v>
      </c>
      <c r="C111" s="24">
        <f>SUM(C99:C110)</f>
        <v>319.28000000000003</v>
      </c>
      <c r="D111" s="24">
        <f t="shared" ref="D111:AR111" si="19">SUM(D99:D110)</f>
        <v>326.45699999999999</v>
      </c>
      <c r="E111" s="24">
        <f t="shared" si="19"/>
        <v>181.70500000000001</v>
      </c>
      <c r="F111" s="24">
        <f t="shared" si="19"/>
        <v>52.884999999999998</v>
      </c>
      <c r="G111" s="24">
        <f t="shared" si="19"/>
        <v>177.21499999999997</v>
      </c>
      <c r="H111" s="24">
        <f t="shared" si="19"/>
        <v>459.81799999999998</v>
      </c>
      <c r="I111" s="24">
        <f t="shared" si="19"/>
        <v>100.90900000000001</v>
      </c>
      <c r="J111" s="25">
        <f t="shared" si="19"/>
        <v>1618.2689999999998</v>
      </c>
      <c r="K111" s="24">
        <f t="shared" si="19"/>
        <v>1011.3269999999999</v>
      </c>
      <c r="L111" s="24">
        <f>SUM(L99:L110)</f>
        <v>203.1</v>
      </c>
      <c r="M111" s="24">
        <f>SUM(M99:M110)</f>
        <v>57.438000000000002</v>
      </c>
      <c r="N111" s="24">
        <f>SUM(N99:N110)</f>
        <v>64.3</v>
      </c>
      <c r="O111" s="24">
        <f t="shared" si="19"/>
        <v>630.04099999999994</v>
      </c>
      <c r="P111" s="24">
        <f t="shared" si="19"/>
        <v>327.72</v>
      </c>
      <c r="Q111" s="24">
        <f t="shared" si="19"/>
        <v>42.262</v>
      </c>
      <c r="R111" s="26">
        <f t="shared" si="19"/>
        <v>369.98200000000003</v>
      </c>
      <c r="S111" s="24">
        <f t="shared" si="19"/>
        <v>72.653999999999982</v>
      </c>
      <c r="T111" s="24">
        <f t="shared" si="19"/>
        <v>118.62599999999999</v>
      </c>
      <c r="U111" s="24">
        <f>SUM(U99:U110)</f>
        <v>109.67499999999998</v>
      </c>
      <c r="V111" s="24">
        <f>SUM(V99:V110)</f>
        <v>27.842999999999993</v>
      </c>
      <c r="W111" s="24">
        <f t="shared" si="19"/>
        <v>45.703999999999994</v>
      </c>
      <c r="X111" s="24">
        <f t="shared" si="19"/>
        <v>49.014000000000003</v>
      </c>
      <c r="Y111" s="26">
        <f t="shared" si="19"/>
        <v>94.718000000000004</v>
      </c>
      <c r="Z111" s="24">
        <f>SUM(Z99:Z110)</f>
        <v>336.33800000000002</v>
      </c>
      <c r="AA111" s="24">
        <f t="shared" si="19"/>
        <v>88.025000000000006</v>
      </c>
      <c r="AB111" s="24">
        <f>SUM(AB99:AB110)</f>
        <v>185.4</v>
      </c>
      <c r="AC111" s="24">
        <f t="shared" si="19"/>
        <v>88.843000000000004</v>
      </c>
      <c r="AD111" s="24">
        <f>SUM(AD99:AD110)</f>
        <v>78.578000000000003</v>
      </c>
      <c r="AE111" s="24">
        <f t="shared" si="19"/>
        <v>11.600000000000001</v>
      </c>
      <c r="AF111" s="24">
        <f>SUM(AF99:AF110)</f>
        <v>44.779000000000003</v>
      </c>
      <c r="AG111" s="24">
        <f t="shared" si="19"/>
        <v>21.228203000000004</v>
      </c>
      <c r="AH111" s="24">
        <f>SUM(AH99:AH110)</f>
        <v>0</v>
      </c>
      <c r="AI111" s="24">
        <f t="shared" si="19"/>
        <v>198.21800000000002</v>
      </c>
      <c r="AJ111" s="24">
        <f t="shared" si="19"/>
        <v>12.215</v>
      </c>
      <c r="AK111" s="24">
        <f t="shared" si="19"/>
        <v>4.21</v>
      </c>
      <c r="AL111" s="24">
        <f t="shared" si="19"/>
        <v>10.735000000000001</v>
      </c>
      <c r="AM111" s="24">
        <f t="shared" si="19"/>
        <v>0</v>
      </c>
      <c r="AN111" s="24">
        <f t="shared" si="19"/>
        <v>4.5699999999999994</v>
      </c>
      <c r="AO111" s="24">
        <f t="shared" si="19"/>
        <v>6.6959999999999988</v>
      </c>
      <c r="AP111" s="24">
        <f t="shared" si="19"/>
        <v>19.174194000000004</v>
      </c>
      <c r="AQ111" s="24">
        <v>136.30051403999997</v>
      </c>
      <c r="AR111" s="27">
        <f t="shared" si="19"/>
        <v>5624.8829110400002</v>
      </c>
    </row>
    <row r="112" spans="1:44" s="14" customFormat="1" hidden="1" outlineLevel="1" x14ac:dyDescent="0.3">
      <c r="A112" s="44">
        <v>44562</v>
      </c>
      <c r="B112" s="31">
        <f t="shared" ref="B112:B123" si="20">C112+D112</f>
        <v>36.879999999999995</v>
      </c>
      <c r="C112" s="29">
        <v>16.401</v>
      </c>
      <c r="D112" s="20">
        <v>20.478999999999999</v>
      </c>
      <c r="E112" s="20">
        <v>11.635</v>
      </c>
      <c r="F112" s="20">
        <v>1.607</v>
      </c>
      <c r="G112" s="20">
        <v>18.84</v>
      </c>
      <c r="H112" s="20">
        <v>34.198999999999998</v>
      </c>
      <c r="I112" s="20">
        <v>10.29</v>
      </c>
      <c r="J112" s="23">
        <v>113.45099999999999</v>
      </c>
      <c r="K112" s="20">
        <v>81</v>
      </c>
      <c r="L112" s="20">
        <v>18.355</v>
      </c>
      <c r="M112" s="20">
        <v>3.9329999999999998</v>
      </c>
      <c r="N112" s="20">
        <v>6.0039999999999996</v>
      </c>
      <c r="O112" s="20">
        <v>51.335999999999999</v>
      </c>
      <c r="P112" s="20">
        <v>20.04</v>
      </c>
      <c r="Q112" s="20">
        <v>2.8940000000000001</v>
      </c>
      <c r="R112" s="21">
        <v>22.934000000000001</v>
      </c>
      <c r="S112" s="20">
        <v>5.718</v>
      </c>
      <c r="T112" s="20">
        <v>12.324999999999999</v>
      </c>
      <c r="U112" s="20">
        <v>12.422000000000001</v>
      </c>
      <c r="V112" s="20">
        <v>2.323</v>
      </c>
      <c r="W112" s="20">
        <v>3.4529999999999998</v>
      </c>
      <c r="X112" s="20">
        <v>4.1059999999999999</v>
      </c>
      <c r="Y112" s="21">
        <v>7.5590000000000002</v>
      </c>
      <c r="Z112" s="20">
        <v>18.114999999999998</v>
      </c>
      <c r="AA112" s="20">
        <v>8.2609999999999992</v>
      </c>
      <c r="AB112" s="20">
        <v>12.413</v>
      </c>
      <c r="AC112" s="20">
        <v>7.5830000000000002</v>
      </c>
      <c r="AD112" s="20">
        <v>6.4859999999999998</v>
      </c>
      <c r="AE112" s="20">
        <v>0.77700000000000002</v>
      </c>
      <c r="AF112" s="20">
        <v>3.0609999999999999</v>
      </c>
      <c r="AG112" s="20">
        <v>1.302273</v>
      </c>
      <c r="AH112" s="20">
        <v>0</v>
      </c>
      <c r="AI112" s="20">
        <v>14.5</v>
      </c>
      <c r="AJ112" s="20">
        <v>0.88600000000000001</v>
      </c>
      <c r="AK112" s="20">
        <v>0.375</v>
      </c>
      <c r="AL112" s="20">
        <v>0.86399999999999999</v>
      </c>
      <c r="AM112" s="20">
        <v>0</v>
      </c>
      <c r="AN112" s="20">
        <v>0.34100000000000003</v>
      </c>
      <c r="AO112" s="20">
        <v>0.40200000000000002</v>
      </c>
      <c r="AP112" s="20">
        <v>1.458</v>
      </c>
      <c r="AQ112" s="20">
        <v>11.546456999999998</v>
      </c>
      <c r="AR112" s="22">
        <f t="shared" ref="AR112:AR123" si="21">SUM(E112:I112,B112,K112:Q112,S112:X112,Z112:AQ112)</f>
        <v>425.73072999999999</v>
      </c>
    </row>
    <row r="113" spans="1:44" s="14" customFormat="1" hidden="1" outlineLevel="1" x14ac:dyDescent="0.3">
      <c r="A113" s="44">
        <v>44593</v>
      </c>
      <c r="B113" s="31">
        <f t="shared" si="20"/>
        <v>46.06</v>
      </c>
      <c r="C113" s="29">
        <v>22.03</v>
      </c>
      <c r="D113" s="20">
        <v>24.03</v>
      </c>
      <c r="E113" s="20">
        <v>10.452</v>
      </c>
      <c r="F113" s="20">
        <v>2.9420000000000002</v>
      </c>
      <c r="G113" s="20">
        <v>14.561999999999999</v>
      </c>
      <c r="H113" s="20">
        <v>33.268999999999998</v>
      </c>
      <c r="I113" s="20">
        <v>8.83</v>
      </c>
      <c r="J113" s="23">
        <v>116.11499999999999</v>
      </c>
      <c r="K113" s="20">
        <v>69.900000000000006</v>
      </c>
      <c r="L113" s="20">
        <v>15.7</v>
      </c>
      <c r="M113" s="20">
        <v>3.5</v>
      </c>
      <c r="N113" s="20">
        <v>5.6</v>
      </c>
      <c r="O113" s="20">
        <v>46.9</v>
      </c>
      <c r="P113" s="20">
        <v>21.913</v>
      </c>
      <c r="Q113" s="20">
        <v>2.61</v>
      </c>
      <c r="R113" s="21">
        <v>24.5</v>
      </c>
      <c r="S113" s="20">
        <v>5.4</v>
      </c>
      <c r="T113" s="20">
        <v>8.3000000000000007</v>
      </c>
      <c r="U113" s="20">
        <v>10.106999999999999</v>
      </c>
      <c r="V113" s="20">
        <v>1.792</v>
      </c>
      <c r="W113" s="20">
        <v>3.448</v>
      </c>
      <c r="X113" s="20">
        <v>4.0039999999999996</v>
      </c>
      <c r="Y113" s="21">
        <v>7.5</v>
      </c>
      <c r="Z113" s="20">
        <v>16.3</v>
      </c>
      <c r="AA113" s="20">
        <v>7.2</v>
      </c>
      <c r="AB113" s="20">
        <v>9.6</v>
      </c>
      <c r="AC113" s="20">
        <v>7.1</v>
      </c>
      <c r="AD113" s="20">
        <v>4.7060000000000004</v>
      </c>
      <c r="AE113" s="20">
        <v>0.7</v>
      </c>
      <c r="AF113" s="20">
        <v>3.1120000000000001</v>
      </c>
      <c r="AG113" s="20">
        <v>1.2173900000000002</v>
      </c>
      <c r="AH113" s="20">
        <v>0</v>
      </c>
      <c r="AI113" s="20">
        <v>15.625999999999999</v>
      </c>
      <c r="AJ113" s="20">
        <v>1.054</v>
      </c>
      <c r="AK113" s="20">
        <v>0.33200000000000002</v>
      </c>
      <c r="AL113" s="20">
        <v>0.71</v>
      </c>
      <c r="AM113" s="20">
        <v>0</v>
      </c>
      <c r="AN113" s="20">
        <v>0.29099999999999998</v>
      </c>
      <c r="AO113" s="20">
        <v>0.40100000000000002</v>
      </c>
      <c r="AP113" s="20">
        <v>1.3460000000000001</v>
      </c>
      <c r="AQ113" s="20">
        <v>9.6152910000000009</v>
      </c>
      <c r="AR113" s="22">
        <f t="shared" si="21"/>
        <v>394.59968099999998</v>
      </c>
    </row>
    <row r="114" spans="1:44" s="14" customFormat="1" hidden="1" outlineLevel="1" x14ac:dyDescent="0.3">
      <c r="A114" s="44">
        <v>44621</v>
      </c>
      <c r="B114" s="31">
        <f t="shared" si="20"/>
        <v>58.2</v>
      </c>
      <c r="C114" s="29">
        <v>32.332999999999998</v>
      </c>
      <c r="D114" s="20">
        <v>25.867000000000001</v>
      </c>
      <c r="E114" s="20">
        <v>15.323</v>
      </c>
      <c r="F114" s="20">
        <v>2.1829999999999998</v>
      </c>
      <c r="G114" s="20">
        <v>16.853999999999999</v>
      </c>
      <c r="H114" s="20">
        <v>32.307000000000002</v>
      </c>
      <c r="I114" s="20">
        <v>9.9420000000000002</v>
      </c>
      <c r="J114" s="23">
        <v>134.80900000000003</v>
      </c>
      <c r="K114" s="20">
        <v>81.400000000000006</v>
      </c>
      <c r="L114" s="20">
        <v>23.6</v>
      </c>
      <c r="M114" s="20">
        <v>4.2</v>
      </c>
      <c r="N114" s="20">
        <v>6</v>
      </c>
      <c r="O114" s="20">
        <v>51.2</v>
      </c>
      <c r="P114" s="20">
        <v>23.459</v>
      </c>
      <c r="Q114" s="20">
        <v>2.8559999999999999</v>
      </c>
      <c r="R114" s="21">
        <v>26.3</v>
      </c>
      <c r="S114" s="20">
        <v>5.9</v>
      </c>
      <c r="T114" s="20">
        <v>11.2</v>
      </c>
      <c r="U114" s="20">
        <v>12.384</v>
      </c>
      <c r="V114" s="20">
        <v>2.1309999999999998</v>
      </c>
      <c r="W114" s="20">
        <v>3.5640000000000001</v>
      </c>
      <c r="X114" s="20">
        <v>4.1619999999999999</v>
      </c>
      <c r="Y114" s="21">
        <v>7.7</v>
      </c>
      <c r="Z114" s="20">
        <v>21.3</v>
      </c>
      <c r="AA114" s="20">
        <v>7.5</v>
      </c>
      <c r="AB114" s="20">
        <v>10.9</v>
      </c>
      <c r="AC114" s="20">
        <v>8.1999999999999993</v>
      </c>
      <c r="AD114" s="20">
        <v>6.2519999999999998</v>
      </c>
      <c r="AE114" s="20">
        <v>0.8</v>
      </c>
      <c r="AF114" s="20">
        <v>3.944</v>
      </c>
      <c r="AG114" s="20">
        <v>1.5003389999999999</v>
      </c>
      <c r="AH114" s="20">
        <v>0</v>
      </c>
      <c r="AI114" s="20">
        <v>15.284000000000001</v>
      </c>
      <c r="AJ114" s="20">
        <v>1.008</v>
      </c>
      <c r="AK114" s="20">
        <v>0.33500000000000002</v>
      </c>
      <c r="AL114" s="20">
        <v>0.69</v>
      </c>
      <c r="AM114" s="20">
        <v>0</v>
      </c>
      <c r="AN114" s="20">
        <v>0.318</v>
      </c>
      <c r="AO114" s="20">
        <v>0.55000000000000004</v>
      </c>
      <c r="AP114" s="20">
        <v>1.4950000000000001</v>
      </c>
      <c r="AQ114" s="20">
        <v>10.870999999999999</v>
      </c>
      <c r="AR114" s="22">
        <f t="shared" si="21"/>
        <v>457.81233899999989</v>
      </c>
    </row>
    <row r="115" spans="1:44" s="14" customFormat="1" hidden="1" outlineLevel="1" x14ac:dyDescent="0.3">
      <c r="A115" s="44">
        <v>44652</v>
      </c>
      <c r="B115" s="31">
        <f t="shared" si="20"/>
        <v>47.244</v>
      </c>
      <c r="C115" s="29">
        <v>21.753</v>
      </c>
      <c r="D115" s="20">
        <v>25.491</v>
      </c>
      <c r="E115" s="20">
        <v>12.148999999999999</v>
      </c>
      <c r="F115" s="20">
        <v>2.85</v>
      </c>
      <c r="G115" s="20">
        <v>12.175000000000001</v>
      </c>
      <c r="H115" s="20">
        <v>31.567</v>
      </c>
      <c r="I115" s="20">
        <v>10.25</v>
      </c>
      <c r="J115" s="23">
        <v>116.235</v>
      </c>
      <c r="K115" s="20">
        <v>87.9</v>
      </c>
      <c r="L115" s="20">
        <v>20.399999999999999</v>
      </c>
      <c r="M115" s="20">
        <v>4.8</v>
      </c>
      <c r="N115" s="20">
        <v>5.4909999999999997</v>
      </c>
      <c r="O115" s="20">
        <v>41.9</v>
      </c>
      <c r="P115" s="20">
        <v>16.419</v>
      </c>
      <c r="Q115" s="20">
        <v>2.278</v>
      </c>
      <c r="R115" s="21">
        <v>18.7</v>
      </c>
      <c r="S115" s="20">
        <v>5.6</v>
      </c>
      <c r="T115" s="20">
        <v>12.4</v>
      </c>
      <c r="U115" s="20">
        <v>8.9450000000000003</v>
      </c>
      <c r="V115" s="20">
        <v>1.5029999999999999</v>
      </c>
      <c r="W115" s="20">
        <v>4.141</v>
      </c>
      <c r="X115" s="20">
        <v>4.2709999999999999</v>
      </c>
      <c r="Y115" s="21">
        <v>8.4</v>
      </c>
      <c r="Z115" s="20">
        <v>20.100000000000001</v>
      </c>
      <c r="AA115" s="20">
        <v>7.1</v>
      </c>
      <c r="AB115" s="20">
        <v>10.4</v>
      </c>
      <c r="AC115" s="20">
        <v>8</v>
      </c>
      <c r="AD115" s="20">
        <v>6.1429999999999998</v>
      </c>
      <c r="AE115" s="20">
        <v>0.8</v>
      </c>
      <c r="AF115" s="20">
        <v>4.2930000000000001</v>
      </c>
      <c r="AG115" s="20">
        <v>1.1532829999999998</v>
      </c>
      <c r="AH115" s="20">
        <v>0</v>
      </c>
      <c r="AI115" s="20">
        <v>13.015000000000001</v>
      </c>
      <c r="AJ115" s="20">
        <v>1.0469999999999999</v>
      </c>
      <c r="AK115" s="20">
        <v>0.28000000000000003</v>
      </c>
      <c r="AL115" s="20">
        <v>0.66100000000000003</v>
      </c>
      <c r="AM115" s="20">
        <v>0</v>
      </c>
      <c r="AN115" s="20">
        <v>0.35499999999999998</v>
      </c>
      <c r="AO115" s="20">
        <v>0.58299999999999996</v>
      </c>
      <c r="AP115" s="20">
        <v>1.387</v>
      </c>
      <c r="AQ115" s="20">
        <v>11.941514999999999</v>
      </c>
      <c r="AR115" s="22">
        <f t="shared" si="21"/>
        <v>419.54179800000003</v>
      </c>
    </row>
    <row r="116" spans="1:44" s="14" customFormat="1" hidden="1" outlineLevel="1" x14ac:dyDescent="0.3">
      <c r="A116" s="44">
        <v>44682</v>
      </c>
      <c r="B116" s="31">
        <f t="shared" si="20"/>
        <v>53.477000000000004</v>
      </c>
      <c r="C116" s="29">
        <v>28.318999999999999</v>
      </c>
      <c r="D116" s="20">
        <v>25.158000000000001</v>
      </c>
      <c r="E116" s="20">
        <v>13.936</v>
      </c>
      <c r="F116" s="20">
        <v>1.4890000000000001</v>
      </c>
      <c r="G116" s="20">
        <v>17.794</v>
      </c>
      <c r="H116" s="20">
        <v>37.496000000000002</v>
      </c>
      <c r="I116" s="20">
        <v>10.423</v>
      </c>
      <c r="J116" s="23">
        <v>134.61500000000001</v>
      </c>
      <c r="K116" s="20">
        <v>106.92700000000001</v>
      </c>
      <c r="L116" s="20">
        <v>20.038</v>
      </c>
      <c r="M116" s="20">
        <v>4.7110000000000003</v>
      </c>
      <c r="N116" s="20">
        <v>5.9640000000000004</v>
      </c>
      <c r="O116" s="20">
        <v>48.99339029042563</v>
      </c>
      <c r="P116" s="20">
        <v>24.135999999999999</v>
      </c>
      <c r="Q116" s="20">
        <v>2.5510000000000002</v>
      </c>
      <c r="R116" s="21">
        <v>26.687000000000001</v>
      </c>
      <c r="S116" s="20">
        <v>6.125</v>
      </c>
      <c r="T116" s="20">
        <v>9.86</v>
      </c>
      <c r="U116" s="20">
        <v>12.681182199504475</v>
      </c>
      <c r="V116" s="20">
        <v>2.1219999999999999</v>
      </c>
      <c r="W116" s="20">
        <v>3.9649999999999999</v>
      </c>
      <c r="X116" s="20">
        <v>4.2910000000000004</v>
      </c>
      <c r="Y116" s="21">
        <v>8.2560000000000002</v>
      </c>
      <c r="Z116" s="20">
        <v>22.264400118776042</v>
      </c>
      <c r="AA116" s="20">
        <v>7.585</v>
      </c>
      <c r="AB116" s="20">
        <v>11.780305991308746</v>
      </c>
      <c r="AC116" s="20">
        <v>5.7060000000000004</v>
      </c>
      <c r="AD116" s="20">
        <v>6.2030000000000003</v>
      </c>
      <c r="AE116" s="20">
        <v>0.83920000000000006</v>
      </c>
      <c r="AF116" s="20">
        <v>3.085323078200775</v>
      </c>
      <c r="AG116" s="20">
        <v>1.3712690000000001</v>
      </c>
      <c r="AH116" s="20">
        <v>0</v>
      </c>
      <c r="AI116" s="20">
        <v>14.720597495067024</v>
      </c>
      <c r="AJ116" s="20">
        <v>1.1719999999999999</v>
      </c>
      <c r="AK116" s="20">
        <v>0.26348899999999997</v>
      </c>
      <c r="AL116" s="20">
        <v>0.61799400000000004</v>
      </c>
      <c r="AM116" s="20">
        <v>0</v>
      </c>
      <c r="AN116" s="20">
        <v>0.32800000000000001</v>
      </c>
      <c r="AO116" s="20">
        <v>0.59699999999999998</v>
      </c>
      <c r="AP116" s="20">
        <v>1.3979999999999999</v>
      </c>
      <c r="AQ116" s="20">
        <v>9.8751185386373646</v>
      </c>
      <c r="AR116" s="22">
        <f t="shared" si="21"/>
        <v>474.78626971192006</v>
      </c>
    </row>
    <row r="117" spans="1:44" s="14" customFormat="1" hidden="1" outlineLevel="1" x14ac:dyDescent="0.3">
      <c r="A117" s="44">
        <v>44713</v>
      </c>
      <c r="B117" s="31">
        <f t="shared" si="20"/>
        <v>44.453000000000003</v>
      </c>
      <c r="C117" s="29">
        <v>19.843</v>
      </c>
      <c r="D117" s="20">
        <v>24.61</v>
      </c>
      <c r="E117" s="20">
        <v>11.962999999999999</v>
      </c>
      <c r="F117" s="20">
        <v>3.456</v>
      </c>
      <c r="G117" s="20">
        <v>15.548999999999999</v>
      </c>
      <c r="H117" s="20">
        <v>35.636000000000003</v>
      </c>
      <c r="I117" s="20">
        <v>9.4740000000000002</v>
      </c>
      <c r="J117" s="23">
        <v>120.53100000000001</v>
      </c>
      <c r="K117" s="20">
        <v>102.455</v>
      </c>
      <c r="L117" s="20">
        <v>22.991</v>
      </c>
      <c r="M117" s="20">
        <v>5.2240000000000002</v>
      </c>
      <c r="N117" s="20">
        <v>5.7460000000000004</v>
      </c>
      <c r="O117" s="20">
        <v>50.152348378660562</v>
      </c>
      <c r="P117" s="20">
        <v>23.82</v>
      </c>
      <c r="Q117" s="20">
        <v>2.74</v>
      </c>
      <c r="R117" s="21">
        <v>26.56</v>
      </c>
      <c r="S117" s="20">
        <v>8.3059999999999992</v>
      </c>
      <c r="T117" s="20">
        <v>11.452999999999999</v>
      </c>
      <c r="U117" s="20">
        <v>12.120456713492977</v>
      </c>
      <c r="V117" s="20">
        <v>2.1752048793751695</v>
      </c>
      <c r="W117" s="20">
        <v>4.2919999999999998</v>
      </c>
      <c r="X117" s="20">
        <v>4.4859999999999998</v>
      </c>
      <c r="Y117" s="21">
        <v>8.7780000000000005</v>
      </c>
      <c r="Z117" s="20">
        <v>15.015000000000001</v>
      </c>
      <c r="AA117" s="20">
        <v>7.375</v>
      </c>
      <c r="AB117" s="20">
        <v>11.174141394187815</v>
      </c>
      <c r="AC117" s="20">
        <v>8.5340000000000007</v>
      </c>
      <c r="AD117" s="20">
        <v>6.5847129999999998</v>
      </c>
      <c r="AE117" s="20">
        <v>0.74574099999999999</v>
      </c>
      <c r="AF117" s="20">
        <v>3.3149999999999999</v>
      </c>
      <c r="AG117" s="20">
        <v>1.5015019999999999</v>
      </c>
      <c r="AH117" s="20">
        <v>0</v>
      </c>
      <c r="AI117" s="20">
        <v>11.407544033697871</v>
      </c>
      <c r="AJ117" s="20">
        <v>1.3350819694999998</v>
      </c>
      <c r="AK117" s="20">
        <v>0.227269</v>
      </c>
      <c r="AL117" s="20">
        <v>0.58390300000000006</v>
      </c>
      <c r="AM117" s="20">
        <v>0</v>
      </c>
      <c r="AN117" s="20">
        <v>0.38900000000000001</v>
      </c>
      <c r="AO117" s="20">
        <v>0.56299999999999994</v>
      </c>
      <c r="AP117" s="20">
        <v>1.2649999999999999</v>
      </c>
      <c r="AQ117" s="20">
        <v>8.1067249267000001</v>
      </c>
      <c r="AR117" s="22">
        <f t="shared" si="21"/>
        <v>454.61463029561423</v>
      </c>
    </row>
    <row r="118" spans="1:44" s="14" customFormat="1" hidden="1" outlineLevel="1" x14ac:dyDescent="0.3">
      <c r="A118" s="44">
        <v>44743</v>
      </c>
      <c r="B118" s="31">
        <f t="shared" si="20"/>
        <v>50.82</v>
      </c>
      <c r="C118" s="29">
        <v>25.555</v>
      </c>
      <c r="D118" s="20">
        <v>25.265000000000001</v>
      </c>
      <c r="E118" s="20">
        <v>13.17</v>
      </c>
      <c r="F118" s="20">
        <v>1.423</v>
      </c>
      <c r="G118" s="20">
        <v>17.03</v>
      </c>
      <c r="H118" s="20">
        <v>28.068000000000001</v>
      </c>
      <c r="I118" s="20">
        <v>9.1319999999999997</v>
      </c>
      <c r="J118" s="23">
        <v>119.643</v>
      </c>
      <c r="K118" s="20">
        <v>81.399000000000001</v>
      </c>
      <c r="L118" s="20">
        <v>21.506</v>
      </c>
      <c r="M118" s="20">
        <v>3.5979999999999999</v>
      </c>
      <c r="N118" s="20">
        <v>6.0640309999999999</v>
      </c>
      <c r="O118" s="20">
        <v>47.262</v>
      </c>
      <c r="P118" s="20">
        <v>16.489999999999998</v>
      </c>
      <c r="Q118" s="20">
        <v>2.57</v>
      </c>
      <c r="R118" s="21">
        <v>19.059999999999999</v>
      </c>
      <c r="S118" s="20">
        <v>9.2840000000000007</v>
      </c>
      <c r="T118" s="20">
        <v>10.720994127971508</v>
      </c>
      <c r="U118" s="20">
        <v>4.9989999999999997</v>
      </c>
      <c r="V118" s="20">
        <v>1.8580000000000001</v>
      </c>
      <c r="W118" s="20">
        <v>4.1360000000000001</v>
      </c>
      <c r="X118" s="20">
        <v>4.1029999999999998</v>
      </c>
      <c r="Y118" s="21">
        <v>8.2390000000000008</v>
      </c>
      <c r="Z118" s="20">
        <v>23.391121186549768</v>
      </c>
      <c r="AA118" s="20">
        <v>7.44</v>
      </c>
      <c r="AB118" s="20">
        <v>12.22597924234586</v>
      </c>
      <c r="AC118" s="20">
        <v>8.4884399999999989</v>
      </c>
      <c r="AD118" s="20">
        <v>6.861993</v>
      </c>
      <c r="AE118" s="20">
        <v>0.73965499999999995</v>
      </c>
      <c r="AF118" s="20">
        <v>2.2210000000000001</v>
      </c>
      <c r="AG118" s="20">
        <v>1.3695519999999999</v>
      </c>
      <c r="AH118" s="20">
        <v>0</v>
      </c>
      <c r="AI118" s="20">
        <v>13.05851625126102</v>
      </c>
      <c r="AJ118" s="20">
        <v>1.2634086231999999</v>
      </c>
      <c r="AK118" s="20">
        <v>0.19800000000000001</v>
      </c>
      <c r="AL118" s="20">
        <v>0.76044500000000004</v>
      </c>
      <c r="AM118" s="20">
        <v>0</v>
      </c>
      <c r="AN118" s="20">
        <v>0.29899999999999999</v>
      </c>
      <c r="AO118" s="20">
        <v>0.57699999999999996</v>
      </c>
      <c r="AP118" s="20">
        <v>1.18</v>
      </c>
      <c r="AQ118" s="20">
        <v>10.002399353990002</v>
      </c>
      <c r="AR118" s="22">
        <f t="shared" si="21"/>
        <v>423.70953478531828</v>
      </c>
    </row>
    <row r="119" spans="1:44" s="14" customFormat="1" hidden="1" outlineLevel="1" x14ac:dyDescent="0.3">
      <c r="A119" s="44">
        <v>44774</v>
      </c>
      <c r="B119" s="31">
        <f t="shared" si="20"/>
        <v>36.911999999999999</v>
      </c>
      <c r="C119" s="29">
        <v>14.199</v>
      </c>
      <c r="D119" s="20">
        <v>22.713000000000001</v>
      </c>
      <c r="E119" s="20">
        <v>9.0489999999999995</v>
      </c>
      <c r="F119" s="20">
        <v>3.391</v>
      </c>
      <c r="G119" s="20">
        <v>12.071</v>
      </c>
      <c r="H119" s="20">
        <v>23.74</v>
      </c>
      <c r="I119" s="20">
        <v>6.8529999999999998</v>
      </c>
      <c r="J119" s="23">
        <v>92.015999999999991</v>
      </c>
      <c r="K119" s="20">
        <v>92.677999999999997</v>
      </c>
      <c r="L119" s="20">
        <v>15.933</v>
      </c>
      <c r="M119" s="20">
        <v>5.0060000000000002</v>
      </c>
      <c r="N119" s="20">
        <v>6.4001549999999998</v>
      </c>
      <c r="O119" s="20">
        <v>45.625999999999998</v>
      </c>
      <c r="P119" s="20">
        <v>21.635000000000002</v>
      </c>
      <c r="Q119" s="20">
        <v>3.165</v>
      </c>
      <c r="R119" s="21">
        <v>24.8</v>
      </c>
      <c r="S119" s="20">
        <v>9.76</v>
      </c>
      <c r="T119" s="20">
        <v>11.790678134780837</v>
      </c>
      <c r="U119" s="20">
        <v>5.8259999999999996</v>
      </c>
      <c r="V119" s="20">
        <v>1.4047615286430251</v>
      </c>
      <c r="W119" s="20">
        <v>5.2770000000000001</v>
      </c>
      <c r="X119" s="20">
        <v>3.8079999999999998</v>
      </c>
      <c r="Y119" s="21">
        <v>9.0850000000000009</v>
      </c>
      <c r="Z119" s="20">
        <v>28.338000000000001</v>
      </c>
      <c r="AA119" s="20">
        <v>6.4619999999999997</v>
      </c>
      <c r="AB119" s="20">
        <v>11.273903440578154</v>
      </c>
      <c r="AC119" s="20">
        <v>8.4620149999999974</v>
      </c>
      <c r="AD119" s="20">
        <v>6.9680429999999998</v>
      </c>
      <c r="AE119" s="20">
        <v>0.92</v>
      </c>
      <c r="AF119" s="20">
        <v>2.8839999999999999</v>
      </c>
      <c r="AG119" s="20">
        <v>1.2520440000000002</v>
      </c>
      <c r="AH119" s="20">
        <v>0</v>
      </c>
      <c r="AI119" s="20">
        <v>15.788994653867237</v>
      </c>
      <c r="AJ119" s="20">
        <v>1.3484779306350001</v>
      </c>
      <c r="AK119" s="20">
        <v>0.12915399999999999</v>
      </c>
      <c r="AL119" s="20">
        <v>0.94061000000000006</v>
      </c>
      <c r="AM119" s="20">
        <v>0</v>
      </c>
      <c r="AN119" s="20">
        <v>0.36799999999999999</v>
      </c>
      <c r="AO119" s="20">
        <v>0.50600000000000001</v>
      </c>
      <c r="AP119" s="20">
        <v>1.4219999999999999</v>
      </c>
      <c r="AQ119" s="20">
        <v>8.5504774188326529</v>
      </c>
      <c r="AR119" s="22">
        <f t="shared" si="21"/>
        <v>415.939314107337</v>
      </c>
    </row>
    <row r="120" spans="1:44" s="14" customFormat="1" hidden="1" outlineLevel="1" x14ac:dyDescent="0.3">
      <c r="A120" s="44">
        <v>44805</v>
      </c>
      <c r="B120" s="31">
        <f t="shared" si="20"/>
        <v>42.228999999999999</v>
      </c>
      <c r="C120" s="29">
        <v>19.920999999999999</v>
      </c>
      <c r="D120" s="20">
        <v>22.308</v>
      </c>
      <c r="E120" s="20">
        <v>11.177</v>
      </c>
      <c r="F120" s="20">
        <v>2.5249999999999999</v>
      </c>
      <c r="G120" s="20">
        <v>14.929</v>
      </c>
      <c r="H120" s="20">
        <v>34.807000000000002</v>
      </c>
      <c r="I120" s="20">
        <v>9.0299999999999994</v>
      </c>
      <c r="J120" s="23">
        <v>114.697</v>
      </c>
      <c r="K120" s="20">
        <v>85.509</v>
      </c>
      <c r="L120" s="20">
        <v>21.321000000000002</v>
      </c>
      <c r="M120" s="20">
        <v>4.2110000000000003</v>
      </c>
      <c r="N120" s="20">
        <v>5.8010000000000002</v>
      </c>
      <c r="O120" s="20">
        <v>44.506999999999998</v>
      </c>
      <c r="P120" s="20">
        <v>18.754999999999999</v>
      </c>
      <c r="Q120" s="20">
        <v>3.4510000000000001</v>
      </c>
      <c r="R120" s="21">
        <v>22.206</v>
      </c>
      <c r="S120" s="20">
        <v>8.3810000000000002</v>
      </c>
      <c r="T120" s="20">
        <v>8.9190000000000005</v>
      </c>
      <c r="U120" s="20">
        <v>9.7408064704295612</v>
      </c>
      <c r="V120" s="20">
        <v>1.1988757073199583</v>
      </c>
      <c r="W120" s="20">
        <v>4.1859999999999999</v>
      </c>
      <c r="X120" s="20">
        <v>3.67</v>
      </c>
      <c r="Y120" s="21">
        <v>7.8559999999999999</v>
      </c>
      <c r="Z120" s="20">
        <v>27.821000000000002</v>
      </c>
      <c r="AA120" s="20">
        <v>7.3179999999999996</v>
      </c>
      <c r="AB120" s="20">
        <v>14.096</v>
      </c>
      <c r="AC120" s="20">
        <v>7.9219999999999997</v>
      </c>
      <c r="AD120" s="20">
        <v>7.2093299999999996</v>
      </c>
      <c r="AE120" s="20">
        <v>0.90200000000000002</v>
      </c>
      <c r="AF120" s="20">
        <v>2.6709999999999998</v>
      </c>
      <c r="AG120" s="20">
        <v>1.2814400000000001</v>
      </c>
      <c r="AH120" s="20">
        <v>0</v>
      </c>
      <c r="AI120" s="20">
        <v>15.198707970945406</v>
      </c>
      <c r="AJ120" s="20">
        <v>1.14298256925</v>
      </c>
      <c r="AK120" s="20">
        <v>0.13100000000000001</v>
      </c>
      <c r="AL120" s="20">
        <v>1.173</v>
      </c>
      <c r="AM120" s="20">
        <v>0</v>
      </c>
      <c r="AN120" s="20">
        <v>0.30499999999999999</v>
      </c>
      <c r="AO120" s="20">
        <v>0.63800000000000001</v>
      </c>
      <c r="AP120" s="20">
        <v>1.411</v>
      </c>
      <c r="AQ120" s="20">
        <v>11.002650504608981</v>
      </c>
      <c r="AR120" s="22">
        <f t="shared" si="21"/>
        <v>434.57079322255396</v>
      </c>
    </row>
    <row r="121" spans="1:44" s="14" customFormat="1" hidden="1" outlineLevel="1" x14ac:dyDescent="0.3">
      <c r="A121" s="44">
        <v>44835</v>
      </c>
      <c r="B121" s="31">
        <f t="shared" si="20"/>
        <v>49.271000000000001</v>
      </c>
      <c r="C121" s="29">
        <v>22.285</v>
      </c>
      <c r="D121" s="20">
        <v>26.986000000000001</v>
      </c>
      <c r="E121" s="20">
        <v>14.433</v>
      </c>
      <c r="F121" s="20">
        <v>3.7530000000000001</v>
      </c>
      <c r="G121" s="20">
        <v>11.063000000000001</v>
      </c>
      <c r="H121" s="20">
        <v>38.725000000000001</v>
      </c>
      <c r="I121" s="20">
        <v>7.0419999999999998</v>
      </c>
      <c r="J121" s="23">
        <v>124.28700000000001</v>
      </c>
      <c r="K121" s="20">
        <v>99.733999999999995</v>
      </c>
      <c r="L121" s="20">
        <v>23.151</v>
      </c>
      <c r="M121" s="20">
        <v>4.3570000000000002</v>
      </c>
      <c r="N121" s="20">
        <v>5.87</v>
      </c>
      <c r="O121" s="20">
        <v>44.930999999999997</v>
      </c>
      <c r="P121" s="20">
        <v>29.719000000000001</v>
      </c>
      <c r="Q121" s="20">
        <v>5.0350000000000001</v>
      </c>
      <c r="R121" s="21">
        <v>34.753999999999998</v>
      </c>
      <c r="S121" s="20">
        <v>9.2989999999999995</v>
      </c>
      <c r="T121" s="20">
        <v>7.6509999999999998</v>
      </c>
      <c r="U121" s="20">
        <v>10.426297993513188</v>
      </c>
      <c r="V121" s="20">
        <v>1.1384098842376669</v>
      </c>
      <c r="W121" s="20">
        <v>4.532</v>
      </c>
      <c r="X121" s="20">
        <v>3.3109999999999999</v>
      </c>
      <c r="Y121" s="21">
        <v>7.843</v>
      </c>
      <c r="Z121" s="20">
        <v>30.96</v>
      </c>
      <c r="AA121" s="20">
        <v>7.4610000000000003</v>
      </c>
      <c r="AB121" s="20">
        <v>14.262</v>
      </c>
      <c r="AC121" s="20">
        <v>9.6180000000000003</v>
      </c>
      <c r="AD121" s="20">
        <v>7.3561259999999997</v>
      </c>
      <c r="AE121" s="20">
        <v>0.78</v>
      </c>
      <c r="AF121" s="20">
        <v>3.9609999999999999</v>
      </c>
      <c r="AG121" s="20">
        <v>1.3061669999999999</v>
      </c>
      <c r="AH121" s="20">
        <v>0</v>
      </c>
      <c r="AI121" s="20">
        <v>14.885564678817758</v>
      </c>
      <c r="AJ121" s="20">
        <v>1.1759999999999999</v>
      </c>
      <c r="AK121" s="20">
        <v>0.13635</v>
      </c>
      <c r="AL121" s="20">
        <v>1.2330000000000001</v>
      </c>
      <c r="AM121" s="20">
        <v>0</v>
      </c>
      <c r="AN121" s="20">
        <v>0.34499999999999997</v>
      </c>
      <c r="AO121" s="20">
        <v>0.57199999999999995</v>
      </c>
      <c r="AP121" s="20">
        <v>1.379</v>
      </c>
      <c r="AQ121" s="20">
        <v>9.4503149891857134</v>
      </c>
      <c r="AR121" s="22">
        <f t="shared" si="21"/>
        <v>478.32323054575431</v>
      </c>
    </row>
    <row r="122" spans="1:44" s="14" customFormat="1" hidden="1" outlineLevel="1" x14ac:dyDescent="0.3">
      <c r="A122" s="44">
        <v>44866</v>
      </c>
      <c r="B122" s="31">
        <f t="shared" si="20"/>
        <v>48.787999999999997</v>
      </c>
      <c r="C122" s="29">
        <v>20.617999999999999</v>
      </c>
      <c r="D122" s="20">
        <v>28.17</v>
      </c>
      <c r="E122" s="20">
        <v>15.461</v>
      </c>
      <c r="F122" s="20">
        <v>2.9279999999999999</v>
      </c>
      <c r="G122" s="20">
        <v>13.494999999999999</v>
      </c>
      <c r="H122" s="20">
        <v>37.198999999999998</v>
      </c>
      <c r="I122" s="20">
        <v>7.6550000000000002</v>
      </c>
      <c r="J122" s="23">
        <v>125.526</v>
      </c>
      <c r="K122" s="20">
        <v>79.801000000000002</v>
      </c>
      <c r="L122" s="20">
        <v>20.506</v>
      </c>
      <c r="M122" s="20">
        <v>3.9729999999999999</v>
      </c>
      <c r="N122" s="20">
        <v>6.4340000000000002</v>
      </c>
      <c r="O122" s="20">
        <v>46.685000000000002</v>
      </c>
      <c r="P122" s="20">
        <v>27.042999999999999</v>
      </c>
      <c r="Q122" s="20">
        <v>4.5330000000000004</v>
      </c>
      <c r="R122" s="21">
        <v>31.576000000000001</v>
      </c>
      <c r="S122" s="20">
        <v>8.0109999999999992</v>
      </c>
      <c r="T122" s="20">
        <v>9.8829999999999991</v>
      </c>
      <c r="U122" s="20">
        <v>12.093</v>
      </c>
      <c r="V122" s="20">
        <v>1.348742518812506</v>
      </c>
      <c r="W122" s="20">
        <v>4.7240000000000002</v>
      </c>
      <c r="X122" s="20">
        <v>3.629</v>
      </c>
      <c r="Y122" s="21">
        <v>8.3529999999999998</v>
      </c>
      <c r="Z122" s="20">
        <v>28.844999999999999</v>
      </c>
      <c r="AA122" s="20">
        <v>7.048</v>
      </c>
      <c r="AB122" s="20">
        <v>14.39</v>
      </c>
      <c r="AC122" s="20">
        <v>9.2040000000000006</v>
      </c>
      <c r="AD122" s="20">
        <v>6.3496839999999999</v>
      </c>
      <c r="AE122" s="20">
        <v>0.70499999999999996</v>
      </c>
      <c r="AF122" s="20">
        <v>3.7480000000000002</v>
      </c>
      <c r="AG122" s="20">
        <v>1.3531099999999998</v>
      </c>
      <c r="AH122" s="20">
        <v>0</v>
      </c>
      <c r="AI122" s="20">
        <v>13.384819690561546</v>
      </c>
      <c r="AJ122" s="20">
        <v>0.93801143718500013</v>
      </c>
      <c r="AK122" s="20">
        <v>0.13200000000000001</v>
      </c>
      <c r="AL122" s="20">
        <v>1.1658060000000001</v>
      </c>
      <c r="AM122" s="20">
        <v>0</v>
      </c>
      <c r="AN122" s="20">
        <v>0.39300000000000002</v>
      </c>
      <c r="AO122" s="20">
        <v>0.40200000000000002</v>
      </c>
      <c r="AP122" s="20">
        <v>1.3480000000000001</v>
      </c>
      <c r="AQ122" s="20">
        <v>9.8194579148666676</v>
      </c>
      <c r="AR122" s="22">
        <f t="shared" si="21"/>
        <v>453.41563156142576</v>
      </c>
    </row>
    <row r="123" spans="1:44" s="14" customFormat="1" hidden="1" outlineLevel="1" x14ac:dyDescent="0.3">
      <c r="A123" s="44">
        <v>44896</v>
      </c>
      <c r="B123" s="31">
        <f t="shared" si="20"/>
        <v>55.078000000000003</v>
      </c>
      <c r="C123" s="29">
        <v>25.091999999999999</v>
      </c>
      <c r="D123" s="20">
        <v>29.986000000000001</v>
      </c>
      <c r="E123" s="20">
        <v>13.419</v>
      </c>
      <c r="F123" s="20">
        <v>3.5169999999999999</v>
      </c>
      <c r="G123" s="20">
        <v>12.664</v>
      </c>
      <c r="H123" s="20">
        <v>38.414999999999999</v>
      </c>
      <c r="I123" s="20">
        <v>10.583</v>
      </c>
      <c r="J123" s="23">
        <v>133.67599999999999</v>
      </c>
      <c r="K123" s="20">
        <v>85.545000000000002</v>
      </c>
      <c r="L123" s="20">
        <v>21.994</v>
      </c>
      <c r="M123" s="20">
        <v>3.8420000000000001</v>
      </c>
      <c r="N123" s="20">
        <v>7.1349999999999998</v>
      </c>
      <c r="O123" s="20">
        <v>51.290999999999997</v>
      </c>
      <c r="P123" s="20">
        <v>27.425999999999998</v>
      </c>
      <c r="Q123" s="20">
        <v>5.4980000000000002</v>
      </c>
      <c r="R123" s="21">
        <v>32.923999999999999</v>
      </c>
      <c r="S123" s="20">
        <v>9.8970000000000002</v>
      </c>
      <c r="T123" s="20">
        <v>11.81</v>
      </c>
      <c r="U123" s="20">
        <v>12.384</v>
      </c>
      <c r="V123" s="20">
        <v>1.3864040970391349</v>
      </c>
      <c r="W123" s="20">
        <v>4.9489999999999998</v>
      </c>
      <c r="X123" s="20">
        <v>3.5230000000000001</v>
      </c>
      <c r="Y123" s="21">
        <v>8.4719999999999995</v>
      </c>
      <c r="Z123" s="20">
        <v>31.699000000000002</v>
      </c>
      <c r="AA123" s="20">
        <v>8.1389999999999993</v>
      </c>
      <c r="AB123" s="20">
        <v>16.838000000000001</v>
      </c>
      <c r="AC123" s="20">
        <v>9.3919999999999995</v>
      </c>
      <c r="AD123" s="20">
        <v>8.1132419999999996</v>
      </c>
      <c r="AE123" s="20">
        <v>0.80500000000000005</v>
      </c>
      <c r="AF123" s="20">
        <v>3.1720000000000002</v>
      </c>
      <c r="AG123" s="20">
        <v>1.4005699999999999</v>
      </c>
      <c r="AH123" s="20">
        <v>0</v>
      </c>
      <c r="AI123" s="20">
        <v>15.811011570698611</v>
      </c>
      <c r="AJ123" s="20">
        <v>1.4223346267499997</v>
      </c>
      <c r="AK123" s="20">
        <v>0.109</v>
      </c>
      <c r="AL123" s="20">
        <v>1.263099</v>
      </c>
      <c r="AM123" s="20">
        <v>0</v>
      </c>
      <c r="AN123" s="20">
        <v>0.40699999999999997</v>
      </c>
      <c r="AO123" s="20">
        <v>0.434</v>
      </c>
      <c r="AP123" s="20">
        <v>1.341</v>
      </c>
      <c r="AQ123" s="20">
        <v>16.792537441518689</v>
      </c>
      <c r="AR123" s="22">
        <f t="shared" si="21"/>
        <v>497.49519873600656</v>
      </c>
    </row>
    <row r="124" spans="1:44" s="14" customFormat="1" collapsed="1" x14ac:dyDescent="0.3">
      <c r="A124" s="45" t="s">
        <v>41</v>
      </c>
      <c r="B124" s="24">
        <f>SUM(B112:B123)</f>
        <v>569.41199999999992</v>
      </c>
      <c r="C124" s="24">
        <f>SUM(C112:C123)</f>
        <v>268.34899999999999</v>
      </c>
      <c r="D124" s="24">
        <f t="shared" ref="D124:AR124" si="22">SUM(D112:D123)</f>
        <v>301.06299999999993</v>
      </c>
      <c r="E124" s="24">
        <f t="shared" si="22"/>
        <v>152.167</v>
      </c>
      <c r="F124" s="24">
        <f t="shared" si="22"/>
        <v>32.064</v>
      </c>
      <c r="G124" s="24">
        <f t="shared" si="22"/>
        <v>177.02599999999998</v>
      </c>
      <c r="H124" s="24">
        <f t="shared" si="22"/>
        <v>405.42800000000005</v>
      </c>
      <c r="I124" s="24">
        <f t="shared" si="22"/>
        <v>109.504</v>
      </c>
      <c r="J124" s="25">
        <f t="shared" si="22"/>
        <v>1445.6010000000001</v>
      </c>
      <c r="K124" s="24">
        <f t="shared" si="22"/>
        <v>1054.2480000000003</v>
      </c>
      <c r="L124" s="24">
        <f>SUM(L112:L123)</f>
        <v>245.495</v>
      </c>
      <c r="M124" s="24">
        <f>SUM(M112:M123)</f>
        <v>51.35499999999999</v>
      </c>
      <c r="N124" s="24">
        <f>SUM(N112:N123)</f>
        <v>72.509186</v>
      </c>
      <c r="O124" s="24">
        <f t="shared" si="22"/>
        <v>570.78373866908601</v>
      </c>
      <c r="P124" s="24">
        <f t="shared" si="22"/>
        <v>270.85500000000002</v>
      </c>
      <c r="Q124" s="24">
        <f t="shared" si="22"/>
        <v>40.180999999999997</v>
      </c>
      <c r="R124" s="26">
        <f t="shared" si="22"/>
        <v>311.00099999999998</v>
      </c>
      <c r="S124" s="24">
        <f t="shared" si="22"/>
        <v>91.680999999999997</v>
      </c>
      <c r="T124" s="24">
        <f t="shared" si="22"/>
        <v>126.31267226275233</v>
      </c>
      <c r="U124" s="24">
        <f>SUM(U112:U123)</f>
        <v>124.12874337694019</v>
      </c>
      <c r="V124" s="24">
        <f>SUM(V112:V123)</f>
        <v>20.381398615427464</v>
      </c>
      <c r="W124" s="24">
        <f t="shared" si="22"/>
        <v>50.667000000000002</v>
      </c>
      <c r="X124" s="24">
        <f t="shared" si="22"/>
        <v>47.364000000000004</v>
      </c>
      <c r="Y124" s="26">
        <f t="shared" si="22"/>
        <v>98.040999999999983</v>
      </c>
      <c r="Z124" s="24">
        <f>SUM(Z112:Z123)</f>
        <v>284.1485213053258</v>
      </c>
      <c r="AA124" s="24">
        <f t="shared" si="22"/>
        <v>88.888999999999996</v>
      </c>
      <c r="AB124" s="24">
        <f>SUM(AB112:AB123)</f>
        <v>149.35333006842055</v>
      </c>
      <c r="AC124" s="24">
        <f t="shared" si="22"/>
        <v>98.209454999999991</v>
      </c>
      <c r="AD124" s="24">
        <f>SUM(AD112:AD123)</f>
        <v>79.233131</v>
      </c>
      <c r="AE124" s="24">
        <f t="shared" si="22"/>
        <v>9.5135959999999997</v>
      </c>
      <c r="AF124" s="24">
        <f>SUM(AF112:AF123)</f>
        <v>39.467323078200771</v>
      </c>
      <c r="AG124" s="24">
        <f t="shared" si="22"/>
        <v>16.008938999999998</v>
      </c>
      <c r="AH124" s="24">
        <f>SUM(AH112:AH123)</f>
        <v>0</v>
      </c>
      <c r="AI124" s="24">
        <f t="shared" si="22"/>
        <v>172.68075634491649</v>
      </c>
      <c r="AJ124" s="24">
        <f t="shared" si="22"/>
        <v>13.793297156520001</v>
      </c>
      <c r="AK124" s="24">
        <f t="shared" si="22"/>
        <v>2.6482620000000003</v>
      </c>
      <c r="AL124" s="24">
        <f t="shared" si="22"/>
        <v>10.662857000000001</v>
      </c>
      <c r="AM124" s="24">
        <f t="shared" si="22"/>
        <v>0</v>
      </c>
      <c r="AN124" s="24">
        <f t="shared" si="22"/>
        <v>4.1390000000000002</v>
      </c>
      <c r="AO124" s="24">
        <f t="shared" si="22"/>
        <v>6.2250000000000005</v>
      </c>
      <c r="AP124" s="24">
        <f t="shared" si="22"/>
        <v>16.43</v>
      </c>
      <c r="AQ124" s="24">
        <v>127.57394408834008</v>
      </c>
      <c r="AR124" s="27">
        <f t="shared" si="22"/>
        <v>5330.5391509659294</v>
      </c>
    </row>
    <row r="125" spans="1:44" s="14" customFormat="1" hidden="1" outlineLevel="1" x14ac:dyDescent="0.3">
      <c r="A125" s="44">
        <v>44927</v>
      </c>
      <c r="B125" s="31">
        <f t="shared" ref="B125:B136" si="23">C125+D125</f>
        <v>49.867000000000004</v>
      </c>
      <c r="C125" s="29">
        <v>23.478999999999999</v>
      </c>
      <c r="D125" s="20">
        <v>26.388000000000002</v>
      </c>
      <c r="E125" s="20">
        <v>10.731</v>
      </c>
      <c r="F125" s="20">
        <v>2.516</v>
      </c>
      <c r="G125" s="20">
        <v>15.112</v>
      </c>
      <c r="H125" s="20">
        <v>32.758000000000003</v>
      </c>
      <c r="I125" s="20">
        <v>7.5170000000000003</v>
      </c>
      <c r="J125" s="23">
        <v>118.501</v>
      </c>
      <c r="K125" s="20">
        <v>93.319000000000003</v>
      </c>
      <c r="L125" s="20">
        <v>22.425000000000001</v>
      </c>
      <c r="M125" s="20">
        <v>3.581</v>
      </c>
      <c r="N125" s="20">
        <v>7.2320000000000002</v>
      </c>
      <c r="O125" s="20">
        <v>42.902999999999999</v>
      </c>
      <c r="P125" s="20">
        <v>16.369</v>
      </c>
      <c r="Q125" s="20">
        <v>4.0739999999999998</v>
      </c>
      <c r="R125" s="21">
        <v>20.443000000000001</v>
      </c>
      <c r="S125" s="20">
        <v>8.718</v>
      </c>
      <c r="T125" s="20">
        <v>11.93</v>
      </c>
      <c r="U125" s="20">
        <v>11.351000000000001</v>
      </c>
      <c r="V125" s="20">
        <v>1.3819999999999999</v>
      </c>
      <c r="W125" s="20">
        <v>4.1340000000000003</v>
      </c>
      <c r="X125" s="20">
        <v>3.34</v>
      </c>
      <c r="Y125" s="21">
        <v>7.4740000000000002</v>
      </c>
      <c r="Z125" s="20">
        <v>17.369</v>
      </c>
      <c r="AA125" s="20">
        <v>7.5720000000000001</v>
      </c>
      <c r="AB125" s="20">
        <v>9.8880672710676176</v>
      </c>
      <c r="AC125" s="20">
        <v>7.8366790000000002</v>
      </c>
      <c r="AD125" s="20">
        <v>7.0460000000000003</v>
      </c>
      <c r="AE125" s="20">
        <v>0.72</v>
      </c>
      <c r="AF125" s="20">
        <v>3.161</v>
      </c>
      <c r="AG125" s="20">
        <v>1.3</v>
      </c>
      <c r="AH125" s="20">
        <v>0</v>
      </c>
      <c r="AI125" s="20">
        <v>10.725</v>
      </c>
      <c r="AJ125" s="20">
        <v>0.79300000000000004</v>
      </c>
      <c r="AK125" s="20">
        <v>0.151</v>
      </c>
      <c r="AL125" s="20">
        <v>1.2509999999999999</v>
      </c>
      <c r="AM125" s="20">
        <v>0</v>
      </c>
      <c r="AN125" s="20">
        <v>0.38800000000000001</v>
      </c>
      <c r="AO125" s="20">
        <v>0.501</v>
      </c>
      <c r="AP125" s="20">
        <v>1.329</v>
      </c>
      <c r="AQ125" s="20">
        <v>12.322804171753061</v>
      </c>
      <c r="AR125" s="22">
        <f t="shared" ref="AR125:AR136" si="24">SUM(E125:I125,B125,K125:Q125,S125:X125,Z125:AQ125)</f>
        <v>431.61255044282069</v>
      </c>
    </row>
    <row r="126" spans="1:44" s="14" customFormat="1" hidden="1" outlineLevel="1" x14ac:dyDescent="0.3">
      <c r="A126" s="44">
        <v>44958</v>
      </c>
      <c r="B126" s="31">
        <f t="shared" si="23"/>
        <v>40.111999999999995</v>
      </c>
      <c r="C126" s="29">
        <v>17.279</v>
      </c>
      <c r="D126" s="20">
        <v>22.832999999999998</v>
      </c>
      <c r="E126" s="20">
        <v>9.3689999999999998</v>
      </c>
      <c r="F126" s="20">
        <v>1.204</v>
      </c>
      <c r="G126" s="20">
        <v>11.65</v>
      </c>
      <c r="H126" s="20">
        <v>28.893000000000001</v>
      </c>
      <c r="I126" s="20">
        <v>7.0039999999999996</v>
      </c>
      <c r="J126" s="23">
        <v>98.231999999999999</v>
      </c>
      <c r="K126" s="20">
        <v>72.703999999999994</v>
      </c>
      <c r="L126" s="20">
        <v>18.492000000000001</v>
      </c>
      <c r="M126" s="20">
        <v>4.2649999999999997</v>
      </c>
      <c r="N126" s="20">
        <v>5.4059999999999997</v>
      </c>
      <c r="O126" s="20">
        <v>44.052999999999997</v>
      </c>
      <c r="P126" s="20">
        <v>14.651999999999999</v>
      </c>
      <c r="Q126" s="20">
        <v>1.3859999999999999</v>
      </c>
      <c r="R126" s="21">
        <v>16.038</v>
      </c>
      <c r="S126" s="20">
        <v>8.0090000000000003</v>
      </c>
      <c r="T126" s="20">
        <v>11.314</v>
      </c>
      <c r="U126" s="20">
        <v>9.1449999999999996</v>
      </c>
      <c r="V126" s="20">
        <v>1.1559999999999999</v>
      </c>
      <c r="W126" s="20">
        <v>5.03</v>
      </c>
      <c r="X126" s="20">
        <v>2.6219999999999999</v>
      </c>
      <c r="Y126" s="21">
        <v>7.6520000000000001</v>
      </c>
      <c r="Z126" s="20">
        <v>20.786999999999999</v>
      </c>
      <c r="AA126" s="20">
        <v>6.1980000000000004</v>
      </c>
      <c r="AB126" s="20">
        <v>13.751698567638472</v>
      </c>
      <c r="AC126" s="20">
        <v>5.3857390000000001</v>
      </c>
      <c r="AD126" s="20">
        <v>5.758</v>
      </c>
      <c r="AE126" s="20">
        <v>0.66500000000000004</v>
      </c>
      <c r="AF126" s="20">
        <v>2.9620000000000002</v>
      </c>
      <c r="AG126" s="20">
        <v>1.2210000000000001</v>
      </c>
      <c r="AH126" s="20">
        <v>0</v>
      </c>
      <c r="AI126" s="20">
        <v>11.023999999999999</v>
      </c>
      <c r="AJ126" s="20">
        <v>0.78600000000000003</v>
      </c>
      <c r="AK126" s="20">
        <v>0.13800000000000001</v>
      </c>
      <c r="AL126" s="20">
        <v>1.2190000000000001</v>
      </c>
      <c r="AM126" s="20">
        <v>0</v>
      </c>
      <c r="AN126" s="20">
        <v>0.372</v>
      </c>
      <c r="AO126" s="20">
        <v>0.40899999999999997</v>
      </c>
      <c r="AP126" s="20">
        <v>1.3919999999999999</v>
      </c>
      <c r="AQ126" s="20">
        <v>11.422502276212963</v>
      </c>
      <c r="AR126" s="22">
        <f t="shared" si="24"/>
        <v>379.95693984385139</v>
      </c>
    </row>
    <row r="127" spans="1:44" s="14" customFormat="1" hidden="1" outlineLevel="1" x14ac:dyDescent="0.3">
      <c r="A127" s="44">
        <v>44986</v>
      </c>
      <c r="B127" s="31">
        <f t="shared" si="23"/>
        <v>45.147999999999996</v>
      </c>
      <c r="C127" s="29">
        <v>22.896999999999998</v>
      </c>
      <c r="D127" s="20">
        <v>22.251000000000001</v>
      </c>
      <c r="E127" s="20">
        <v>4.9379999999999997</v>
      </c>
      <c r="F127" s="20">
        <v>2.008</v>
      </c>
      <c r="G127" s="20">
        <v>14.936</v>
      </c>
      <c r="H127" s="20">
        <v>34.1</v>
      </c>
      <c r="I127" s="20">
        <v>8.3940000000000001</v>
      </c>
      <c r="J127" s="23">
        <v>109.524</v>
      </c>
      <c r="K127" s="20">
        <v>92.373999999999995</v>
      </c>
      <c r="L127" s="20">
        <v>21.186</v>
      </c>
      <c r="M127" s="20">
        <v>4.1840000000000002</v>
      </c>
      <c r="N127" s="20">
        <v>5.2190000000000003</v>
      </c>
      <c r="O127" s="20">
        <v>42.85</v>
      </c>
      <c r="P127" s="20">
        <v>21.614999999999998</v>
      </c>
      <c r="Q127" s="20">
        <v>3.3450000000000002</v>
      </c>
      <c r="R127" s="21">
        <v>24.96</v>
      </c>
      <c r="S127" s="20">
        <v>10.010999999999999</v>
      </c>
      <c r="T127" s="20">
        <v>10.677</v>
      </c>
      <c r="U127" s="20">
        <v>12.49</v>
      </c>
      <c r="V127" s="20">
        <v>1.339</v>
      </c>
      <c r="W127" s="20">
        <v>4.9580000000000002</v>
      </c>
      <c r="X127" s="20">
        <v>2.57</v>
      </c>
      <c r="Y127" s="21">
        <v>7.5279999999999996</v>
      </c>
      <c r="Z127" s="20">
        <v>22.888000000000002</v>
      </c>
      <c r="AA127" s="20">
        <v>6.2640000000000002</v>
      </c>
      <c r="AB127" s="20">
        <v>14.565521794319945</v>
      </c>
      <c r="AC127" s="20">
        <v>6.3020350000000001</v>
      </c>
      <c r="AD127" s="20">
        <v>6.0129999999999999</v>
      </c>
      <c r="AE127" s="20">
        <v>0.52500000000000002</v>
      </c>
      <c r="AF127" s="20">
        <v>3.7120000000000002</v>
      </c>
      <c r="AG127" s="20">
        <v>1.5109999999999999</v>
      </c>
      <c r="AH127" s="20">
        <v>0</v>
      </c>
      <c r="AI127" s="20">
        <v>14.186</v>
      </c>
      <c r="AJ127" s="20">
        <v>1.0669999999999999</v>
      </c>
      <c r="AK127" s="20">
        <v>0.13700000000000001</v>
      </c>
      <c r="AL127" s="20">
        <v>1.254</v>
      </c>
      <c r="AM127" s="20">
        <v>0</v>
      </c>
      <c r="AN127" s="20">
        <v>0.32400000000000001</v>
      </c>
      <c r="AO127" s="20">
        <v>0.47199999999999998</v>
      </c>
      <c r="AP127" s="20">
        <v>1.51</v>
      </c>
      <c r="AQ127" s="20">
        <v>13.130392653681666</v>
      </c>
      <c r="AR127" s="22">
        <f t="shared" si="24"/>
        <v>436.20294944800162</v>
      </c>
    </row>
    <row r="128" spans="1:44" s="14" customFormat="1" hidden="1" outlineLevel="1" x14ac:dyDescent="0.3">
      <c r="A128" s="44">
        <v>45017</v>
      </c>
      <c r="B128" s="31">
        <f t="shared" si="23"/>
        <v>36.903999999999996</v>
      </c>
      <c r="C128" s="29">
        <v>12.385999999999999</v>
      </c>
      <c r="D128" s="20">
        <v>24.518000000000001</v>
      </c>
      <c r="E128" s="20">
        <v>11.182</v>
      </c>
      <c r="F128" s="20">
        <v>1.5860000000000001</v>
      </c>
      <c r="G128" s="20">
        <v>8.61</v>
      </c>
      <c r="H128" s="20">
        <v>26.417000000000002</v>
      </c>
      <c r="I128" s="20">
        <v>7.7939999999999996</v>
      </c>
      <c r="J128" s="23">
        <v>92.492999999999995</v>
      </c>
      <c r="K128" s="20">
        <v>105.142</v>
      </c>
      <c r="L128" s="20">
        <v>19.431999999999999</v>
      </c>
      <c r="M128" s="20">
        <v>4.2690000000000001</v>
      </c>
      <c r="N128" s="20">
        <v>4.3780000000000001</v>
      </c>
      <c r="O128" s="20">
        <v>41.540999999999997</v>
      </c>
      <c r="P128" s="20">
        <v>19.841999999999999</v>
      </c>
      <c r="Q128" s="20">
        <v>3.9129999999999998</v>
      </c>
      <c r="R128" s="21">
        <v>23.754999999999999</v>
      </c>
      <c r="S128" s="20">
        <v>8.2089999999999996</v>
      </c>
      <c r="T128" s="20">
        <v>10.574</v>
      </c>
      <c r="U128" s="20">
        <v>9.1609999999999996</v>
      </c>
      <c r="V128" s="20">
        <v>1.2430000000000001</v>
      </c>
      <c r="W128" s="20">
        <v>4.25</v>
      </c>
      <c r="X128" s="20">
        <v>2.8460000000000001</v>
      </c>
      <c r="Y128" s="21">
        <v>7.0960000000000001</v>
      </c>
      <c r="Z128" s="20">
        <v>19.068000000000001</v>
      </c>
      <c r="AA128" s="20">
        <v>6.7809999999999997</v>
      </c>
      <c r="AB128" s="20">
        <v>12.806759283752966</v>
      </c>
      <c r="AC128" s="20">
        <v>6.0659340000000004</v>
      </c>
      <c r="AD128" s="20">
        <v>5.7709999999999999</v>
      </c>
      <c r="AE128" s="20">
        <v>0.60799999999999998</v>
      </c>
      <c r="AF128" s="20">
        <v>3.3769999999999998</v>
      </c>
      <c r="AG128" s="20">
        <v>1.6060000000000001</v>
      </c>
      <c r="AH128" s="20">
        <v>0</v>
      </c>
      <c r="AI128" s="20">
        <v>12.653</v>
      </c>
      <c r="AJ128" s="20">
        <v>1.3740000000000001</v>
      </c>
      <c r="AK128" s="20">
        <v>0.14099999999999999</v>
      </c>
      <c r="AL128" s="20">
        <v>1.171</v>
      </c>
      <c r="AM128" s="20">
        <v>0</v>
      </c>
      <c r="AN128" s="20">
        <v>0.35199999999999998</v>
      </c>
      <c r="AO128" s="20">
        <v>0.48499999999999999</v>
      </c>
      <c r="AP128" s="20">
        <v>1.355</v>
      </c>
      <c r="AQ128" s="20">
        <v>11.856488506198836</v>
      </c>
      <c r="AR128" s="22">
        <f t="shared" si="24"/>
        <v>412.76418178995192</v>
      </c>
    </row>
    <row r="129" spans="1:44" s="14" customFormat="1" hidden="1" outlineLevel="1" x14ac:dyDescent="0.3">
      <c r="A129" s="44">
        <v>45047</v>
      </c>
      <c r="B129" s="31">
        <f t="shared" si="23"/>
        <v>47.95</v>
      </c>
      <c r="C129" s="29">
        <v>18.576000000000001</v>
      </c>
      <c r="D129" s="20">
        <v>29.373999999999999</v>
      </c>
      <c r="E129" s="20">
        <v>5.7809999999999997</v>
      </c>
      <c r="F129" s="20">
        <v>1.0249999999999999</v>
      </c>
      <c r="G129" s="20">
        <v>15.804</v>
      </c>
      <c r="H129" s="20">
        <v>23.763000000000002</v>
      </c>
      <c r="I129" s="20">
        <v>8.5510000000000002</v>
      </c>
      <c r="J129" s="23">
        <v>102.87400000000001</v>
      </c>
      <c r="K129" s="20">
        <v>83.855000000000004</v>
      </c>
      <c r="L129" s="20">
        <v>17.052</v>
      </c>
      <c r="M129" s="20">
        <v>4.2149999999999999</v>
      </c>
      <c r="N129" s="20">
        <v>4.0209999999999999</v>
      </c>
      <c r="O129" s="20">
        <v>43.23</v>
      </c>
      <c r="P129" s="20">
        <v>18.637</v>
      </c>
      <c r="Q129" s="20">
        <v>5.1689999999999996</v>
      </c>
      <c r="R129" s="21">
        <v>23.806000000000001</v>
      </c>
      <c r="S129" s="20">
        <v>6.6663689999999995</v>
      </c>
      <c r="T129" s="20">
        <v>9.7550000000000008</v>
      </c>
      <c r="U129" s="20">
        <v>13.262</v>
      </c>
      <c r="V129" s="20">
        <v>1.397</v>
      </c>
      <c r="W129" s="20">
        <v>4.1449999999999996</v>
      </c>
      <c r="X129" s="20">
        <v>2.411</v>
      </c>
      <c r="Y129" s="21">
        <v>6.556</v>
      </c>
      <c r="Z129" s="20">
        <v>27.120999999999999</v>
      </c>
      <c r="AA129" s="20">
        <v>6.1660000000000004</v>
      </c>
      <c r="AB129" s="20">
        <v>11.837</v>
      </c>
      <c r="AC129" s="20">
        <v>6.0110000000000001</v>
      </c>
      <c r="AD129" s="20">
        <v>6.72</v>
      </c>
      <c r="AE129" s="20">
        <v>0.253</v>
      </c>
      <c r="AF129" s="20">
        <v>2.77</v>
      </c>
      <c r="AG129" s="20">
        <v>1.7629999999999999</v>
      </c>
      <c r="AH129" s="20">
        <v>0</v>
      </c>
      <c r="AI129" s="20">
        <v>12.978999999999999</v>
      </c>
      <c r="AJ129" s="20">
        <v>1.05</v>
      </c>
      <c r="AK129" s="20">
        <v>0.13500000000000001</v>
      </c>
      <c r="AL129" s="20">
        <v>0.96899999999999997</v>
      </c>
      <c r="AM129" s="20">
        <v>0</v>
      </c>
      <c r="AN129" s="20">
        <v>0.34300000000000003</v>
      </c>
      <c r="AO129" s="20">
        <v>0.40300000000000002</v>
      </c>
      <c r="AP129" s="20">
        <v>1.5309999999999999</v>
      </c>
      <c r="AQ129" s="20">
        <v>11.917508820551941</v>
      </c>
      <c r="AR129" s="22">
        <f t="shared" si="24"/>
        <v>408.65787782055185</v>
      </c>
    </row>
    <row r="130" spans="1:44" s="14" customFormat="1" hidden="1" outlineLevel="1" x14ac:dyDescent="0.3">
      <c r="A130" s="44">
        <v>45078</v>
      </c>
      <c r="B130" s="31">
        <f t="shared" si="23"/>
        <v>52.640999999999998</v>
      </c>
      <c r="C130" s="29">
        <v>22.904</v>
      </c>
      <c r="D130" s="20">
        <v>29.736999999999998</v>
      </c>
      <c r="E130" s="20">
        <v>6.3579999999999997</v>
      </c>
      <c r="F130" s="20">
        <v>0.96599999999999997</v>
      </c>
      <c r="G130" s="20">
        <v>13.824999999999999</v>
      </c>
      <c r="H130" s="20">
        <v>28.071000000000002</v>
      </c>
      <c r="I130" s="20">
        <v>9.2119999999999997</v>
      </c>
      <c r="J130" s="23">
        <v>111.07300000000001</v>
      </c>
      <c r="K130" s="20">
        <v>111.446</v>
      </c>
      <c r="L130" s="20">
        <v>20.957000000000001</v>
      </c>
      <c r="M130" s="20">
        <v>3.734</v>
      </c>
      <c r="N130" s="20">
        <v>3.5409999999999999</v>
      </c>
      <c r="O130" s="20">
        <v>45.372999999999998</v>
      </c>
      <c r="P130" s="20">
        <v>21.39</v>
      </c>
      <c r="Q130" s="20">
        <v>4.5949999999999998</v>
      </c>
      <c r="R130" s="21">
        <v>25.984999999999999</v>
      </c>
      <c r="S130" s="20">
        <v>8.1616199999999992</v>
      </c>
      <c r="T130" s="20">
        <v>11.452</v>
      </c>
      <c r="U130" s="20">
        <v>13.391999999999999</v>
      </c>
      <c r="V130" s="20">
        <v>1.2490000000000001</v>
      </c>
      <c r="W130" s="20">
        <v>3.847</v>
      </c>
      <c r="X130" s="20">
        <v>3.032</v>
      </c>
      <c r="Y130" s="21">
        <v>6.8789999999999996</v>
      </c>
      <c r="Z130" s="20">
        <v>27.849</v>
      </c>
      <c r="AA130" s="20">
        <v>6.5759999999999996</v>
      </c>
      <c r="AB130" s="20">
        <v>11.385</v>
      </c>
      <c r="AC130" s="20">
        <v>3.4009999999999998</v>
      </c>
      <c r="AD130" s="20">
        <v>6.6420000000000003</v>
      </c>
      <c r="AE130" s="20">
        <v>3.7858879999999999</v>
      </c>
      <c r="AF130" s="20">
        <v>4.0979999999999999</v>
      </c>
      <c r="AG130" s="20">
        <v>1.702</v>
      </c>
      <c r="AH130" s="20">
        <v>0</v>
      </c>
      <c r="AI130" s="20">
        <v>14.538</v>
      </c>
      <c r="AJ130" s="20">
        <v>1.19</v>
      </c>
      <c r="AK130" s="20">
        <v>0.11</v>
      </c>
      <c r="AL130" s="20">
        <v>1.0009999999999999</v>
      </c>
      <c r="AM130" s="20">
        <v>0</v>
      </c>
      <c r="AN130" s="20">
        <v>0.33900000000000002</v>
      </c>
      <c r="AO130" s="20">
        <v>0.39</v>
      </c>
      <c r="AP130" s="20">
        <v>1.3620000000000001</v>
      </c>
      <c r="AQ130" s="20">
        <v>9.6042967108609307</v>
      </c>
      <c r="AR130" s="22">
        <f t="shared" si="24"/>
        <v>457.21580471086094</v>
      </c>
    </row>
    <row r="131" spans="1:44" s="14" customFormat="1" hidden="1" outlineLevel="1" x14ac:dyDescent="0.3">
      <c r="A131" s="44">
        <v>45108</v>
      </c>
      <c r="B131" s="31">
        <f t="shared" si="23"/>
        <v>50.951999999999998</v>
      </c>
      <c r="C131" s="29">
        <v>19.611000000000001</v>
      </c>
      <c r="D131" s="20">
        <v>31.341000000000001</v>
      </c>
      <c r="E131" s="20">
        <v>10.005000000000001</v>
      </c>
      <c r="F131" s="20">
        <v>1.012</v>
      </c>
      <c r="G131" s="20">
        <v>14.042999999999999</v>
      </c>
      <c r="H131" s="20">
        <v>31.798999999999999</v>
      </c>
      <c r="I131" s="20">
        <v>8.6579999999999995</v>
      </c>
      <c r="J131" s="23">
        <v>116.46899999999999</v>
      </c>
      <c r="K131" s="20">
        <v>82.382999999999996</v>
      </c>
      <c r="L131" s="20">
        <v>23.978999999999999</v>
      </c>
      <c r="M131" s="20">
        <v>3.617</v>
      </c>
      <c r="N131" s="20">
        <v>4.8</v>
      </c>
      <c r="O131" s="20">
        <v>50.014000000000003</v>
      </c>
      <c r="P131" s="20">
        <v>16.376999999999999</v>
      </c>
      <c r="Q131" s="20">
        <v>5.0439999999999996</v>
      </c>
      <c r="R131" s="21">
        <v>21.420999999999999</v>
      </c>
      <c r="S131" s="20">
        <v>8.0248889999999999</v>
      </c>
      <c r="T131" s="20">
        <v>10.868</v>
      </c>
      <c r="U131" s="20">
        <v>10.542</v>
      </c>
      <c r="V131" s="20">
        <v>1.3680000000000001</v>
      </c>
      <c r="W131" s="20">
        <v>3.742</v>
      </c>
      <c r="X131" s="20">
        <v>3.03</v>
      </c>
      <c r="Y131" s="21">
        <v>6.7720000000000002</v>
      </c>
      <c r="Z131" s="20">
        <v>27.768999999999998</v>
      </c>
      <c r="AA131" s="20">
        <v>6.5949999999999998</v>
      </c>
      <c r="AB131" s="20">
        <v>14.484</v>
      </c>
      <c r="AC131" s="20">
        <v>7.0140000000000002</v>
      </c>
      <c r="AD131" s="20">
        <v>5.7750000000000004</v>
      </c>
      <c r="AE131" s="20">
        <v>3.2208009999999998</v>
      </c>
      <c r="AF131" s="20">
        <v>3.9369999999999998</v>
      </c>
      <c r="AG131" s="20">
        <v>1.911</v>
      </c>
      <c r="AH131" s="20">
        <v>0</v>
      </c>
      <c r="AI131" s="20">
        <v>9.9770000000000003</v>
      </c>
      <c r="AJ131" s="20">
        <v>1.1100000000000001</v>
      </c>
      <c r="AK131" s="20">
        <v>0.11</v>
      </c>
      <c r="AL131" s="20">
        <v>0.95099999999999996</v>
      </c>
      <c r="AM131" s="20">
        <v>0</v>
      </c>
      <c r="AN131" s="20">
        <v>0.33400000000000002</v>
      </c>
      <c r="AO131" s="20">
        <v>0.435</v>
      </c>
      <c r="AP131" s="20">
        <v>1.387</v>
      </c>
      <c r="AQ131" s="20">
        <v>8.5871335710000025</v>
      </c>
      <c r="AR131" s="22">
        <f t="shared" si="24"/>
        <v>433.85482357099988</v>
      </c>
    </row>
    <row r="132" spans="1:44" s="14" customFormat="1" hidden="1" outlineLevel="1" x14ac:dyDescent="0.3">
      <c r="A132" s="44">
        <v>45139</v>
      </c>
      <c r="B132" s="31">
        <f t="shared" si="23"/>
        <v>43.576000000000001</v>
      </c>
      <c r="C132" s="29">
        <v>15.871</v>
      </c>
      <c r="D132" s="20">
        <v>27.704999999999998</v>
      </c>
      <c r="E132" s="20">
        <v>10.952999999999999</v>
      </c>
      <c r="F132" s="20">
        <v>1.014</v>
      </c>
      <c r="G132" s="20">
        <v>13.842000000000001</v>
      </c>
      <c r="H132" s="20">
        <v>27.893000000000001</v>
      </c>
      <c r="I132" s="20">
        <v>9.3170000000000002</v>
      </c>
      <c r="J132" s="23">
        <v>106.595</v>
      </c>
      <c r="K132" s="20">
        <v>91.153999999999996</v>
      </c>
      <c r="L132" s="20">
        <v>23.196000000000002</v>
      </c>
      <c r="M132" s="20">
        <v>3.536</v>
      </c>
      <c r="N132" s="20">
        <v>5.5030000000000001</v>
      </c>
      <c r="O132" s="20">
        <v>55.033000000000001</v>
      </c>
      <c r="P132" s="20">
        <v>15.397</v>
      </c>
      <c r="Q132" s="20">
        <v>2.4449999999999998</v>
      </c>
      <c r="R132" s="21">
        <v>17.841999999999999</v>
      </c>
      <c r="S132" s="20">
        <v>7.4550000000000001</v>
      </c>
      <c r="T132" s="20">
        <v>9.1869999999999994</v>
      </c>
      <c r="U132" s="20">
        <v>12.065</v>
      </c>
      <c r="V132" s="20">
        <v>1.3089999999999999</v>
      </c>
      <c r="W132" s="20">
        <v>4.1639999999999997</v>
      </c>
      <c r="X132" s="20">
        <v>2.8490000000000002</v>
      </c>
      <c r="Y132" s="21">
        <v>7.0129999999999999</v>
      </c>
      <c r="Z132" s="20">
        <v>26.518999999999998</v>
      </c>
      <c r="AA132" s="20">
        <v>6.8449999999999998</v>
      </c>
      <c r="AB132" s="20">
        <v>12.500999999999999</v>
      </c>
      <c r="AC132" s="20">
        <v>7.0129999999999999</v>
      </c>
      <c r="AD132" s="20">
        <v>5.55</v>
      </c>
      <c r="AE132" s="20">
        <v>7.0326659999999999</v>
      </c>
      <c r="AF132" s="20">
        <v>1.7869999999999999</v>
      </c>
      <c r="AG132" s="20">
        <v>1.7010000000000001</v>
      </c>
      <c r="AH132" s="20">
        <v>0</v>
      </c>
      <c r="AI132" s="20">
        <v>12.654</v>
      </c>
      <c r="AJ132" s="20">
        <v>1.252</v>
      </c>
      <c r="AK132" s="20">
        <v>0.12</v>
      </c>
      <c r="AL132" s="20">
        <v>1.0609999999999999</v>
      </c>
      <c r="AM132" s="20">
        <v>0</v>
      </c>
      <c r="AN132" s="20">
        <v>0.35</v>
      </c>
      <c r="AO132" s="20">
        <v>0.443</v>
      </c>
      <c r="AP132" s="20">
        <v>1.4910000000000001</v>
      </c>
      <c r="AQ132" s="20">
        <v>10.293012472512162</v>
      </c>
      <c r="AR132" s="22">
        <f t="shared" si="24"/>
        <v>436.50067847251211</v>
      </c>
    </row>
    <row r="133" spans="1:44" s="14" customFormat="1" hidden="1" outlineLevel="1" x14ac:dyDescent="0.3">
      <c r="A133" s="44">
        <v>45170</v>
      </c>
      <c r="B133" s="31">
        <f t="shared" si="23"/>
        <v>50.152999999999999</v>
      </c>
      <c r="C133" s="29">
        <v>25.164999999999999</v>
      </c>
      <c r="D133" s="32">
        <v>24.988</v>
      </c>
      <c r="E133" s="32">
        <v>11.337</v>
      </c>
      <c r="F133" s="32">
        <v>0.94699999999999995</v>
      </c>
      <c r="G133" s="32">
        <v>12.257999999999999</v>
      </c>
      <c r="H133" s="32">
        <v>27.997</v>
      </c>
      <c r="I133" s="32">
        <v>7.3650000000000002</v>
      </c>
      <c r="J133" s="23">
        <v>110.057</v>
      </c>
      <c r="K133" s="32">
        <v>107.3</v>
      </c>
      <c r="L133" s="32">
        <v>22.927</v>
      </c>
      <c r="M133" s="20">
        <v>2.3260000000000001</v>
      </c>
      <c r="N133" s="32">
        <v>5.2</v>
      </c>
      <c r="O133" s="32">
        <v>45.107999999999997</v>
      </c>
      <c r="P133" s="20">
        <v>14.067</v>
      </c>
      <c r="Q133" s="20">
        <v>2.2599999999999998</v>
      </c>
      <c r="R133" s="33">
        <v>16.327000000000002</v>
      </c>
      <c r="S133" s="32">
        <v>7.524</v>
      </c>
      <c r="T133" s="32">
        <v>8.9659999999999993</v>
      </c>
      <c r="U133" s="32">
        <v>10.836</v>
      </c>
      <c r="V133" s="32">
        <v>1.383</v>
      </c>
      <c r="W133" s="32">
        <v>4.2549999999999999</v>
      </c>
      <c r="X133" s="32">
        <v>2.681</v>
      </c>
      <c r="Y133" s="33">
        <v>6.9359999999999999</v>
      </c>
      <c r="Z133" s="32">
        <v>28.100999999999999</v>
      </c>
      <c r="AA133" s="32">
        <v>7.2640000000000002</v>
      </c>
      <c r="AB133" s="32">
        <v>15.802</v>
      </c>
      <c r="AC133" s="32">
        <v>7.032</v>
      </c>
      <c r="AD133" s="32">
        <v>7.0010000000000003</v>
      </c>
      <c r="AE133" s="32">
        <v>10.34802</v>
      </c>
      <c r="AF133" s="32">
        <v>3.6269999999999998</v>
      </c>
      <c r="AG133" s="32">
        <v>1.5349999999999999</v>
      </c>
      <c r="AH133" s="32">
        <v>0</v>
      </c>
      <c r="AI133" s="32">
        <v>14.919</v>
      </c>
      <c r="AJ133" s="32">
        <v>1.113</v>
      </c>
      <c r="AK133" s="32">
        <v>0.112</v>
      </c>
      <c r="AL133" s="32">
        <v>1.071</v>
      </c>
      <c r="AM133" s="32">
        <v>0</v>
      </c>
      <c r="AN133" s="32">
        <v>0.32400000000000001</v>
      </c>
      <c r="AO133" s="32">
        <v>0.376</v>
      </c>
      <c r="AP133" s="32">
        <v>1.411</v>
      </c>
      <c r="AQ133" s="20">
        <v>12.493394718861865</v>
      </c>
      <c r="AR133" s="22">
        <f t="shared" si="24"/>
        <v>457.41941471886184</v>
      </c>
    </row>
    <row r="134" spans="1:44" s="14" customFormat="1" hidden="1" outlineLevel="1" x14ac:dyDescent="0.3">
      <c r="A134" s="44">
        <v>45200</v>
      </c>
      <c r="B134" s="31">
        <f t="shared" si="23"/>
        <v>45.635999999999996</v>
      </c>
      <c r="C134" s="29">
        <v>23.172999999999998</v>
      </c>
      <c r="D134" s="32">
        <v>22.463000000000001</v>
      </c>
      <c r="E134" s="32">
        <v>14.909000000000001</v>
      </c>
      <c r="F134" s="32">
        <v>0.53400000000000003</v>
      </c>
      <c r="G134" s="32">
        <v>16.308</v>
      </c>
      <c r="H134" s="32">
        <v>31.478999999999999</v>
      </c>
      <c r="I134" s="32">
        <v>10.526999999999999</v>
      </c>
      <c r="J134" s="23">
        <v>119.393</v>
      </c>
      <c r="K134" s="32">
        <v>88.353999999999999</v>
      </c>
      <c r="L134" s="32">
        <v>20.212</v>
      </c>
      <c r="M134" s="20">
        <v>1.256</v>
      </c>
      <c r="N134" s="32">
        <v>6.0019999999999998</v>
      </c>
      <c r="O134" s="32">
        <v>54.802999999999997</v>
      </c>
      <c r="P134" s="20">
        <v>20.227</v>
      </c>
      <c r="Q134" s="20">
        <v>2.476</v>
      </c>
      <c r="R134" s="33">
        <v>22.702999999999999</v>
      </c>
      <c r="S134" s="32">
        <v>8.1370000000000005</v>
      </c>
      <c r="T134" s="32">
        <v>10.824999999999999</v>
      </c>
      <c r="U134" s="32">
        <v>9.6590000000000007</v>
      </c>
      <c r="V134" s="32">
        <v>1.385</v>
      </c>
      <c r="W134" s="32">
        <v>4.0449999999999999</v>
      </c>
      <c r="X134" s="32">
        <v>3.0070000000000001</v>
      </c>
      <c r="Y134" s="33">
        <v>7.0519999999999996</v>
      </c>
      <c r="Z134" s="32">
        <v>28.023</v>
      </c>
      <c r="AA134" s="32">
        <v>7.5720000000000001</v>
      </c>
      <c r="AB134" s="32">
        <v>15.955</v>
      </c>
      <c r="AC134" s="32">
        <v>7.5110000000000001</v>
      </c>
      <c r="AD134" s="32">
        <v>7.18</v>
      </c>
      <c r="AE134" s="32">
        <v>9.569191</v>
      </c>
      <c r="AF134" s="32">
        <v>3.9020000000000001</v>
      </c>
      <c r="AG134" s="32">
        <v>1.601</v>
      </c>
      <c r="AH134" s="32">
        <v>0</v>
      </c>
      <c r="AI134" s="32">
        <v>11.191000000000001</v>
      </c>
      <c r="AJ134" s="32">
        <v>1.2070000000000001</v>
      </c>
      <c r="AK134" s="32">
        <v>0.125</v>
      </c>
      <c r="AL134" s="32">
        <v>1.1599999999999999</v>
      </c>
      <c r="AM134" s="32">
        <v>0</v>
      </c>
      <c r="AN134" s="32">
        <v>0.39100000000000001</v>
      </c>
      <c r="AO134" s="32">
        <v>0.36499999999999999</v>
      </c>
      <c r="AP134" s="32">
        <v>1.407</v>
      </c>
      <c r="AQ134" s="20">
        <v>12.753735280653318</v>
      </c>
      <c r="AR134" s="22">
        <f t="shared" si="24"/>
        <v>459.69392628065327</v>
      </c>
    </row>
    <row r="135" spans="1:44" s="14" customFormat="1" hidden="1" outlineLevel="1" x14ac:dyDescent="0.3">
      <c r="A135" s="44">
        <v>45231</v>
      </c>
      <c r="B135" s="31">
        <f t="shared" si="23"/>
        <v>42.073</v>
      </c>
      <c r="C135" s="29">
        <v>19.599</v>
      </c>
      <c r="D135" s="20">
        <v>22.474</v>
      </c>
      <c r="E135" s="20">
        <v>13.974</v>
      </c>
      <c r="F135" s="20">
        <v>6.0999999999999999E-2</v>
      </c>
      <c r="G135" s="20">
        <v>13.244999999999999</v>
      </c>
      <c r="H135" s="20">
        <v>28.486999999999998</v>
      </c>
      <c r="I135" s="20">
        <v>8.1080000000000005</v>
      </c>
      <c r="J135" s="23">
        <v>105.94800000000001</v>
      </c>
      <c r="K135" s="20">
        <v>84.79</v>
      </c>
      <c r="L135" s="20">
        <v>18.359000000000002</v>
      </c>
      <c r="M135" s="20">
        <v>0.371</v>
      </c>
      <c r="N135" s="20">
        <v>7.25</v>
      </c>
      <c r="O135" s="20">
        <v>47.957999999999998</v>
      </c>
      <c r="P135" s="20">
        <v>18.145</v>
      </c>
      <c r="Q135" s="20">
        <v>2.8570000000000002</v>
      </c>
      <c r="R135" s="21">
        <v>21.001999999999999</v>
      </c>
      <c r="S135" s="20">
        <v>8.4309999999999992</v>
      </c>
      <c r="T135" s="20">
        <v>13.561</v>
      </c>
      <c r="U135" s="20">
        <v>12.763999999999999</v>
      </c>
      <c r="V135" s="20">
        <v>1.4279999999999999</v>
      </c>
      <c r="W135" s="20">
        <v>3.0649999999999999</v>
      </c>
      <c r="X135" s="20">
        <v>3.2010000000000001</v>
      </c>
      <c r="Y135" s="21">
        <v>6.266</v>
      </c>
      <c r="Z135" s="20">
        <v>29.887</v>
      </c>
      <c r="AA135" s="20">
        <v>6.9219999999999997</v>
      </c>
      <c r="AB135" s="20">
        <v>15.585000000000001</v>
      </c>
      <c r="AC135" s="20">
        <v>7.7930000000000001</v>
      </c>
      <c r="AD135" s="20">
        <v>7.0519999999999996</v>
      </c>
      <c r="AE135" s="20">
        <v>13.779</v>
      </c>
      <c r="AF135" s="20">
        <v>3.6309999999999998</v>
      </c>
      <c r="AG135" s="20">
        <v>1.5660000000000001</v>
      </c>
      <c r="AH135" s="20">
        <v>0</v>
      </c>
      <c r="AI135" s="20">
        <v>11.335000000000001</v>
      </c>
      <c r="AJ135" s="20">
        <v>1.4219999999999999</v>
      </c>
      <c r="AK135" s="20">
        <v>0.13200000000000001</v>
      </c>
      <c r="AL135" s="20">
        <v>1.1000000000000001</v>
      </c>
      <c r="AM135" s="20">
        <v>0</v>
      </c>
      <c r="AN135" s="20">
        <v>0.375</v>
      </c>
      <c r="AO135" s="20">
        <v>0.35499999999999998</v>
      </c>
      <c r="AP135" s="20">
        <v>1.321</v>
      </c>
      <c r="AQ135" s="20">
        <v>12.479874605913855</v>
      </c>
      <c r="AR135" s="22">
        <f t="shared" si="24"/>
        <v>442.86287460591393</v>
      </c>
    </row>
    <row r="136" spans="1:44" s="14" customFormat="1" hidden="1" outlineLevel="1" x14ac:dyDescent="0.3">
      <c r="A136" s="44">
        <v>45261</v>
      </c>
      <c r="B136" s="31">
        <f t="shared" si="23"/>
        <v>58.290000000000006</v>
      </c>
      <c r="C136" s="29">
        <v>27.556000000000001</v>
      </c>
      <c r="D136" s="20">
        <v>30.734000000000002</v>
      </c>
      <c r="E136" s="20">
        <v>16.472999999999999</v>
      </c>
      <c r="F136" s="20">
        <v>0.127</v>
      </c>
      <c r="G136" s="20">
        <v>14.911</v>
      </c>
      <c r="H136" s="20">
        <v>30.216999999999999</v>
      </c>
      <c r="I136" s="20">
        <v>13.378</v>
      </c>
      <c r="J136" s="23">
        <v>133.39600000000002</v>
      </c>
      <c r="K136" s="20">
        <v>88.54</v>
      </c>
      <c r="L136" s="20">
        <v>20.826000000000001</v>
      </c>
      <c r="M136" s="20">
        <v>0</v>
      </c>
      <c r="N136" s="20">
        <v>7.2530000000000001</v>
      </c>
      <c r="O136" s="20">
        <v>60.316000000000003</v>
      </c>
      <c r="P136" s="20">
        <v>18.818999999999999</v>
      </c>
      <c r="Q136" s="20">
        <v>1.9410000000000001</v>
      </c>
      <c r="R136" s="21">
        <v>20.76</v>
      </c>
      <c r="S136" s="20">
        <v>9.0660000000000007</v>
      </c>
      <c r="T136" s="20">
        <v>11.81</v>
      </c>
      <c r="U136" s="20">
        <v>12.467000000000001</v>
      </c>
      <c r="V136" s="20">
        <v>1.1419999999999999</v>
      </c>
      <c r="W136" s="20">
        <v>4.4770000000000003</v>
      </c>
      <c r="X136" s="20">
        <v>3.8109999999999999</v>
      </c>
      <c r="Y136" s="21">
        <v>8.2880000000000003</v>
      </c>
      <c r="Z136" s="20">
        <v>35.182000000000002</v>
      </c>
      <c r="AA136" s="20">
        <v>6.16</v>
      </c>
      <c r="AB136" s="20">
        <v>14.12</v>
      </c>
      <c r="AC136" s="20">
        <v>7.9249999999999998</v>
      </c>
      <c r="AD136" s="20">
        <v>7.3209999999999997</v>
      </c>
      <c r="AE136" s="20">
        <v>13.810559</v>
      </c>
      <c r="AF136" s="20">
        <v>2.6429999999999998</v>
      </c>
      <c r="AG136" s="20">
        <v>1.651</v>
      </c>
      <c r="AH136" s="20">
        <v>0</v>
      </c>
      <c r="AI136" s="20">
        <v>14.016999999999999</v>
      </c>
      <c r="AJ136" s="20">
        <v>1.3009999999999999</v>
      </c>
      <c r="AK136" s="20">
        <v>0.14599999999999999</v>
      </c>
      <c r="AL136" s="20">
        <v>1.0129999999999999</v>
      </c>
      <c r="AM136" s="20">
        <v>0</v>
      </c>
      <c r="AN136" s="20">
        <v>0.39800000000000002</v>
      </c>
      <c r="AO136" s="20">
        <v>0.32</v>
      </c>
      <c r="AP136" s="20">
        <v>1.133</v>
      </c>
      <c r="AQ136" s="20">
        <v>12.663886592680001</v>
      </c>
      <c r="AR136" s="22">
        <f t="shared" si="24"/>
        <v>493.66844559267997</v>
      </c>
    </row>
    <row r="137" spans="1:44" s="14" customFormat="1" collapsed="1" x14ac:dyDescent="0.3">
      <c r="A137" s="45" t="s">
        <v>42</v>
      </c>
      <c r="B137" s="24">
        <f>SUM(B125:B136)</f>
        <v>563.30200000000002</v>
      </c>
      <c r="C137" s="24">
        <f>SUM(C125:C136)</f>
        <v>248.49599999999998</v>
      </c>
      <c r="D137" s="24">
        <f t="shared" ref="D137:AR137" si="25">SUM(D125:D136)</f>
        <v>314.80599999999998</v>
      </c>
      <c r="E137" s="24">
        <f t="shared" si="25"/>
        <v>126.01</v>
      </c>
      <c r="F137" s="24">
        <f t="shared" si="25"/>
        <v>13</v>
      </c>
      <c r="G137" s="24">
        <f t="shared" si="25"/>
        <v>164.54399999999998</v>
      </c>
      <c r="H137" s="24">
        <f t="shared" si="25"/>
        <v>351.87400000000002</v>
      </c>
      <c r="I137" s="24">
        <f t="shared" si="25"/>
        <v>105.825</v>
      </c>
      <c r="J137" s="25">
        <f t="shared" si="25"/>
        <v>1324.5550000000001</v>
      </c>
      <c r="K137" s="24">
        <f t="shared" si="25"/>
        <v>1101.3610000000001</v>
      </c>
      <c r="L137" s="24">
        <f>SUM(L125:L136)</f>
        <v>249.04299999999995</v>
      </c>
      <c r="M137" s="24">
        <f>SUM(M125:M136)</f>
        <v>35.353999999999999</v>
      </c>
      <c r="N137" s="24">
        <f>SUM(N125:N136)</f>
        <v>65.805000000000007</v>
      </c>
      <c r="O137" s="24">
        <f t="shared" si="25"/>
        <v>573.18200000000002</v>
      </c>
      <c r="P137" s="24">
        <f t="shared" si="25"/>
        <v>215.53700000000001</v>
      </c>
      <c r="Q137" s="24">
        <f t="shared" si="25"/>
        <v>39.505000000000003</v>
      </c>
      <c r="R137" s="26">
        <f t="shared" si="25"/>
        <v>255.042</v>
      </c>
      <c r="S137" s="24">
        <f t="shared" si="25"/>
        <v>98.412878000000006</v>
      </c>
      <c r="T137" s="24">
        <f t="shared" si="25"/>
        <v>130.91899999999998</v>
      </c>
      <c r="U137" s="24">
        <f>SUM(U125:U136)</f>
        <v>137.13400000000001</v>
      </c>
      <c r="V137" s="24">
        <f>SUM(V125:V136)</f>
        <v>15.780999999999999</v>
      </c>
      <c r="W137" s="24">
        <f t="shared" si="25"/>
        <v>50.112000000000009</v>
      </c>
      <c r="X137" s="24">
        <f t="shared" si="25"/>
        <v>35.400000000000006</v>
      </c>
      <c r="Y137" s="26">
        <f t="shared" si="25"/>
        <v>85.512</v>
      </c>
      <c r="Z137" s="24">
        <f>SUM(Z125:Z136)</f>
        <v>310.56299999999999</v>
      </c>
      <c r="AA137" s="24">
        <f t="shared" si="25"/>
        <v>80.914999999999992</v>
      </c>
      <c r="AB137" s="24">
        <f>SUM(AB125:AB136)</f>
        <v>162.68104691677902</v>
      </c>
      <c r="AC137" s="24">
        <f t="shared" si="25"/>
        <v>79.290386999999996</v>
      </c>
      <c r="AD137" s="24">
        <f>SUM(AD125:AD136)</f>
        <v>77.828999999999994</v>
      </c>
      <c r="AE137" s="24">
        <f t="shared" si="25"/>
        <v>64.31712499999999</v>
      </c>
      <c r="AF137" s="24">
        <f>SUM(AF125:AF136)</f>
        <v>39.606999999999999</v>
      </c>
      <c r="AG137" s="24">
        <f t="shared" si="25"/>
        <v>19.067999999999998</v>
      </c>
      <c r="AH137" s="24">
        <f>SUM(AH125:AH136)</f>
        <v>0</v>
      </c>
      <c r="AI137" s="24">
        <f t="shared" si="25"/>
        <v>150.19800000000001</v>
      </c>
      <c r="AJ137" s="24">
        <f t="shared" si="25"/>
        <v>13.665000000000001</v>
      </c>
      <c r="AK137" s="24">
        <f t="shared" si="25"/>
        <v>1.5569999999999999</v>
      </c>
      <c r="AL137" s="24">
        <f t="shared" si="25"/>
        <v>13.220999999999998</v>
      </c>
      <c r="AM137" s="24">
        <f t="shared" si="25"/>
        <v>0</v>
      </c>
      <c r="AN137" s="24">
        <f t="shared" si="25"/>
        <v>4.29</v>
      </c>
      <c r="AO137" s="24">
        <f t="shared" si="25"/>
        <v>4.9540000000000006</v>
      </c>
      <c r="AP137" s="24">
        <f t="shared" si="25"/>
        <v>16.628999999999998</v>
      </c>
      <c r="AQ137" s="24">
        <v>139.52503038088059</v>
      </c>
      <c r="AR137" s="27">
        <f t="shared" si="25"/>
        <v>5250.4104672976591</v>
      </c>
    </row>
    <row r="138" spans="1:44" s="14" customFormat="1" hidden="1" outlineLevel="1" x14ac:dyDescent="0.3">
      <c r="A138" s="44">
        <v>45292</v>
      </c>
      <c r="B138" s="31">
        <f t="shared" ref="B138:B149" si="26">C138+D138</f>
        <v>43.329000000000001</v>
      </c>
      <c r="C138" s="29">
        <v>16.975999999999999</v>
      </c>
      <c r="D138" s="29">
        <v>26.353000000000002</v>
      </c>
      <c r="E138" s="20">
        <v>3.7789999999999999</v>
      </c>
      <c r="F138" s="20">
        <v>0</v>
      </c>
      <c r="G138" s="20">
        <v>15.595000000000001</v>
      </c>
      <c r="H138" s="20">
        <v>26.984000000000002</v>
      </c>
      <c r="I138" s="20">
        <v>9.0129999999999999</v>
      </c>
      <c r="J138" s="23">
        <v>98.7</v>
      </c>
      <c r="K138" s="20">
        <v>97.522000000000006</v>
      </c>
      <c r="L138" s="20">
        <v>20.934999999999999</v>
      </c>
      <c r="M138" s="20">
        <v>0</v>
      </c>
      <c r="N138" s="20">
        <v>6.55</v>
      </c>
      <c r="O138" s="20">
        <v>52.15</v>
      </c>
      <c r="P138" s="20">
        <v>14.981</v>
      </c>
      <c r="Q138" s="20">
        <v>4.915</v>
      </c>
      <c r="R138" s="21">
        <v>19.896000000000001</v>
      </c>
      <c r="S138" s="20">
        <v>8.8409999999999993</v>
      </c>
      <c r="T138" s="20">
        <v>10.263999999999999</v>
      </c>
      <c r="U138" s="20">
        <v>12.849</v>
      </c>
      <c r="V138" s="20">
        <v>1.052</v>
      </c>
      <c r="W138" s="20">
        <v>3.8740000000000001</v>
      </c>
      <c r="X138" s="20">
        <v>3.3940000000000001</v>
      </c>
      <c r="Y138" s="21">
        <v>7.2679999999999998</v>
      </c>
      <c r="Z138" s="20">
        <v>28.087</v>
      </c>
      <c r="AA138" s="20">
        <v>6.298</v>
      </c>
      <c r="AB138" s="20">
        <v>6.3179999999999996</v>
      </c>
      <c r="AC138" s="20">
        <v>7.9219999999999997</v>
      </c>
      <c r="AD138" s="20">
        <v>6.8120000000000003</v>
      </c>
      <c r="AE138" s="20">
        <v>13.711</v>
      </c>
      <c r="AF138" s="20">
        <v>2.121</v>
      </c>
      <c r="AG138" s="20">
        <v>1.7529999999999999</v>
      </c>
      <c r="AH138" s="20">
        <v>0</v>
      </c>
      <c r="AI138" s="20">
        <v>9.09</v>
      </c>
      <c r="AJ138" s="20">
        <v>1.077</v>
      </c>
      <c r="AK138" s="20">
        <v>0.14299999999999999</v>
      </c>
      <c r="AL138" s="20">
        <v>1.1140000000000001</v>
      </c>
      <c r="AM138" s="20">
        <v>0</v>
      </c>
      <c r="AN138" s="20">
        <v>0.35499999999999998</v>
      </c>
      <c r="AO138" s="20">
        <v>0.44500000000000001</v>
      </c>
      <c r="AP138" s="20">
        <v>1.1020000000000001</v>
      </c>
      <c r="AQ138" s="20">
        <v>12.176000000000002</v>
      </c>
      <c r="AR138" s="22">
        <f t="shared" ref="AR138:AR149" si="27">SUM(E138:I138,B138,K138:Q138,S138:X138,Z138:AQ138)</f>
        <v>434.55099999999999</v>
      </c>
    </row>
    <row r="139" spans="1:44" s="14" customFormat="1" hidden="1" outlineLevel="1" x14ac:dyDescent="0.3">
      <c r="A139" s="44">
        <v>45323</v>
      </c>
      <c r="B139" s="31">
        <f t="shared" si="26"/>
        <v>40.003</v>
      </c>
      <c r="C139" s="29">
        <v>15.968</v>
      </c>
      <c r="D139" s="29">
        <v>24.035</v>
      </c>
      <c r="E139" s="20">
        <v>6.8470000000000004</v>
      </c>
      <c r="F139" s="20">
        <v>0</v>
      </c>
      <c r="G139" s="20">
        <v>16.445</v>
      </c>
      <c r="H139" s="20">
        <v>25.939</v>
      </c>
      <c r="I139" s="20">
        <v>7.82</v>
      </c>
      <c r="J139" s="23">
        <v>97.054000000000002</v>
      </c>
      <c r="K139" s="20">
        <v>97.522999999999996</v>
      </c>
      <c r="L139" s="20">
        <v>19.193000000000001</v>
      </c>
      <c r="M139" s="20">
        <v>0</v>
      </c>
      <c r="N139" s="20">
        <v>5.726</v>
      </c>
      <c r="O139" s="20">
        <v>45.213000000000001</v>
      </c>
      <c r="P139" s="20">
        <v>15.824999999999999</v>
      </c>
      <c r="Q139" s="20">
        <v>3.657</v>
      </c>
      <c r="R139" s="21">
        <v>19.481999999999999</v>
      </c>
      <c r="S139" s="20">
        <v>7.1470000000000002</v>
      </c>
      <c r="T139" s="20">
        <v>9.8160000000000007</v>
      </c>
      <c r="U139" s="20">
        <v>9.7080000000000002</v>
      </c>
      <c r="V139" s="20">
        <v>0.96199999999999997</v>
      </c>
      <c r="W139" s="20">
        <v>3.5750000000000002</v>
      </c>
      <c r="X139" s="20">
        <v>2.782</v>
      </c>
      <c r="Y139" s="21">
        <v>6.3570000000000002</v>
      </c>
      <c r="Z139" s="20">
        <v>27.529</v>
      </c>
      <c r="AA139" s="20">
        <v>6.274</v>
      </c>
      <c r="AB139" s="20">
        <v>9.1690000000000005</v>
      </c>
      <c r="AC139" s="20">
        <v>7.149</v>
      </c>
      <c r="AD139" s="20">
        <v>6.2789999999999999</v>
      </c>
      <c r="AE139" s="20">
        <v>14</v>
      </c>
      <c r="AF139" s="20">
        <v>2.2320000000000002</v>
      </c>
      <c r="AG139" s="20">
        <v>1.754</v>
      </c>
      <c r="AH139" s="20">
        <v>0</v>
      </c>
      <c r="AI139" s="20">
        <v>11.134</v>
      </c>
      <c r="AJ139" s="20">
        <v>0.97699999999999998</v>
      </c>
      <c r="AK139" s="20">
        <v>0.14499999999999999</v>
      </c>
      <c r="AL139" s="20">
        <v>1.0629999999999999</v>
      </c>
      <c r="AM139" s="20">
        <v>0</v>
      </c>
      <c r="AN139" s="20">
        <v>0.35799999999999998</v>
      </c>
      <c r="AO139" s="20">
        <v>0.39</v>
      </c>
      <c r="AP139" s="20">
        <v>0.97299999999999998</v>
      </c>
      <c r="AQ139" s="20">
        <v>10.177000000000001</v>
      </c>
      <c r="AR139" s="22">
        <f t="shared" si="27"/>
        <v>417.78399999999993</v>
      </c>
    </row>
    <row r="140" spans="1:44" s="14" customFormat="1" hidden="1" outlineLevel="1" x14ac:dyDescent="0.3">
      <c r="A140" s="44">
        <v>45352</v>
      </c>
      <c r="B140" s="31">
        <f t="shared" si="26"/>
        <v>33.963999999999999</v>
      </c>
      <c r="C140" s="29">
        <v>19.815000000000001</v>
      </c>
      <c r="D140" s="29">
        <v>14.148999999999999</v>
      </c>
      <c r="E140" s="20">
        <v>6.859</v>
      </c>
      <c r="F140" s="20">
        <v>0</v>
      </c>
      <c r="G140" s="20">
        <v>17.096</v>
      </c>
      <c r="H140" s="20">
        <v>32.728000000000002</v>
      </c>
      <c r="I140" s="20">
        <v>8.3719999999999999</v>
      </c>
      <c r="J140" s="23">
        <v>99.019000000000005</v>
      </c>
      <c r="K140" s="20">
        <v>101.354</v>
      </c>
      <c r="L140" s="20">
        <v>22.861000000000001</v>
      </c>
      <c r="M140" s="20">
        <v>0</v>
      </c>
      <c r="N140" s="20">
        <v>6.4539999999999997</v>
      </c>
      <c r="O140" s="20">
        <v>49.777000000000001</v>
      </c>
      <c r="P140" s="20">
        <v>17.835999999999999</v>
      </c>
      <c r="Q140" s="20">
        <v>4.1379999999999999</v>
      </c>
      <c r="R140" s="21">
        <v>21.974</v>
      </c>
      <c r="S140" s="20">
        <v>7.9530000000000003</v>
      </c>
      <c r="T140" s="20">
        <v>8.266</v>
      </c>
      <c r="U140" s="20">
        <v>11.66</v>
      </c>
      <c r="V140" s="20">
        <v>1.024</v>
      </c>
      <c r="W140" s="20">
        <v>3.516</v>
      </c>
      <c r="X140" s="20">
        <v>3.3</v>
      </c>
      <c r="Y140" s="21">
        <v>6.8159999999999998</v>
      </c>
      <c r="Z140" s="20">
        <v>23.611000000000001</v>
      </c>
      <c r="AA140" s="20">
        <v>6.992</v>
      </c>
      <c r="AB140" s="20">
        <v>7.5640000000000001</v>
      </c>
      <c r="AC140" s="20">
        <v>6.8810000000000002</v>
      </c>
      <c r="AD140" s="20">
        <v>6.5039999999999996</v>
      </c>
      <c r="AE140" s="20">
        <v>15.609</v>
      </c>
      <c r="AF140" s="20">
        <v>2.5619999999999998</v>
      </c>
      <c r="AG140" s="20">
        <v>1.9019999999999999</v>
      </c>
      <c r="AH140" s="20">
        <v>0</v>
      </c>
      <c r="AI140" s="20">
        <v>12.526999999999999</v>
      </c>
      <c r="AJ140" s="20">
        <v>0.77200000000000002</v>
      </c>
      <c r="AK140" s="20">
        <v>0.13800000000000001</v>
      </c>
      <c r="AL140" s="20">
        <v>1.087</v>
      </c>
      <c r="AM140" s="20">
        <v>0</v>
      </c>
      <c r="AN140" s="20">
        <v>0.39500000000000002</v>
      </c>
      <c r="AO140" s="20">
        <v>0.44500000000000001</v>
      </c>
      <c r="AP140" s="20">
        <v>1.046</v>
      </c>
      <c r="AQ140" s="20">
        <v>9.5660000000000007</v>
      </c>
      <c r="AR140" s="22">
        <f t="shared" si="27"/>
        <v>434.7589999999999</v>
      </c>
    </row>
    <row r="141" spans="1:44" s="14" customFormat="1" hidden="1" outlineLevel="1" x14ac:dyDescent="0.3">
      <c r="A141" s="44">
        <v>45383</v>
      </c>
      <c r="B141" s="31">
        <f t="shared" si="26"/>
        <v>37.870000000000005</v>
      </c>
      <c r="C141" s="29">
        <v>19.64</v>
      </c>
      <c r="D141" s="29">
        <v>18.23</v>
      </c>
      <c r="E141" s="20">
        <v>6.202</v>
      </c>
      <c r="F141" s="20">
        <v>0</v>
      </c>
      <c r="G141" s="20">
        <v>14.54</v>
      </c>
      <c r="H141" s="20">
        <v>17.850999999999999</v>
      </c>
      <c r="I141" s="20">
        <v>10.19</v>
      </c>
      <c r="J141" s="23">
        <v>86.652999999999992</v>
      </c>
      <c r="K141" s="20">
        <v>97.98</v>
      </c>
      <c r="L141" s="20">
        <v>21.51</v>
      </c>
      <c r="M141" s="20">
        <v>0</v>
      </c>
      <c r="N141" s="20">
        <v>5.7</v>
      </c>
      <c r="O141" s="20">
        <v>42.268999999999998</v>
      </c>
      <c r="P141" s="20">
        <v>18.82</v>
      </c>
      <c r="Q141" s="20">
        <v>4.1399999999999997</v>
      </c>
      <c r="R141" s="21">
        <v>22.96</v>
      </c>
      <c r="S141" s="20">
        <v>7.8710000000000004</v>
      </c>
      <c r="T141" s="20">
        <v>8.25</v>
      </c>
      <c r="U141" s="20">
        <v>7.891</v>
      </c>
      <c r="V141" s="20">
        <v>0.70699999999999996</v>
      </c>
      <c r="W141" s="20">
        <v>3.39</v>
      </c>
      <c r="X141" s="20">
        <v>2.62</v>
      </c>
      <c r="Y141" s="21">
        <v>6.01</v>
      </c>
      <c r="Z141" s="20">
        <v>27.864999999999998</v>
      </c>
      <c r="AA141" s="20">
        <v>6.5019999999999998</v>
      </c>
      <c r="AB141" s="20">
        <v>6.8620000000000001</v>
      </c>
      <c r="AC141" s="20">
        <v>8.98</v>
      </c>
      <c r="AD141" s="20">
        <v>6.5919999999999996</v>
      </c>
      <c r="AE141" s="20">
        <v>14.651999999999999</v>
      </c>
      <c r="AF141" s="20">
        <v>2.5070000000000001</v>
      </c>
      <c r="AG141" s="20">
        <v>1.702</v>
      </c>
      <c r="AH141" s="20">
        <v>0</v>
      </c>
      <c r="AI141" s="20">
        <v>9.51</v>
      </c>
      <c r="AJ141" s="20">
        <v>0.66800000000000004</v>
      </c>
      <c r="AK141" s="20">
        <v>0.13900000000000001</v>
      </c>
      <c r="AL141" s="20">
        <v>0.97099999999999997</v>
      </c>
      <c r="AM141" s="20">
        <v>0</v>
      </c>
      <c r="AN141" s="20">
        <v>0.34300000000000003</v>
      </c>
      <c r="AO141" s="20">
        <v>0.48199999999999998</v>
      </c>
      <c r="AP141" s="20">
        <v>1.038</v>
      </c>
      <c r="AQ141" s="20">
        <v>9.0660000000000007</v>
      </c>
      <c r="AR141" s="22">
        <f t="shared" si="27"/>
        <v>405.68</v>
      </c>
    </row>
    <row r="142" spans="1:44" s="14" customFormat="1" hidden="1" outlineLevel="1" x14ac:dyDescent="0.3">
      <c r="A142" s="44">
        <v>45413</v>
      </c>
      <c r="B142" s="31">
        <f t="shared" si="26"/>
        <v>49.79</v>
      </c>
      <c r="C142" s="29">
        <v>26.864000000000001</v>
      </c>
      <c r="D142" s="29">
        <v>22.925999999999998</v>
      </c>
      <c r="E142" s="20">
        <v>5.8319999999999999</v>
      </c>
      <c r="F142" s="20">
        <v>0</v>
      </c>
      <c r="G142" s="20">
        <v>16.184999999999999</v>
      </c>
      <c r="H142" s="20">
        <v>22.876000000000001</v>
      </c>
      <c r="I142" s="20">
        <v>8.5649999999999995</v>
      </c>
      <c r="J142" s="23">
        <v>103.24799999999999</v>
      </c>
      <c r="K142" s="20">
        <v>106.071</v>
      </c>
      <c r="L142" s="20">
        <v>20.170000000000002</v>
      </c>
      <c r="M142" s="20">
        <v>0</v>
      </c>
      <c r="N142" s="20">
        <v>6.7050000000000001</v>
      </c>
      <c r="O142" s="20">
        <v>46.231999999999999</v>
      </c>
      <c r="P142" s="20">
        <v>16.927</v>
      </c>
      <c r="Q142" s="20">
        <v>4.4279999999999999</v>
      </c>
      <c r="R142" s="21">
        <v>21.355</v>
      </c>
      <c r="S142" s="20">
        <v>8.6129999999999995</v>
      </c>
      <c r="T142" s="20">
        <v>8.0139999999999993</v>
      </c>
      <c r="U142" s="20">
        <v>10.739000000000001</v>
      </c>
      <c r="V142" s="20">
        <v>0.94499999999999995</v>
      </c>
      <c r="W142" s="20">
        <v>3.6829999999999998</v>
      </c>
      <c r="X142" s="20">
        <v>3.012</v>
      </c>
      <c r="Y142" s="21">
        <v>6.6950000000000003</v>
      </c>
      <c r="Z142" s="20">
        <v>27.446999999999999</v>
      </c>
      <c r="AA142" s="20">
        <v>6.6020000000000003</v>
      </c>
      <c r="AB142" s="20">
        <v>7.4340000000000002</v>
      </c>
      <c r="AC142" s="20">
        <v>9.3309999999999995</v>
      </c>
      <c r="AD142" s="20">
        <v>7.0140000000000002</v>
      </c>
      <c r="AE142" s="20">
        <v>17.291</v>
      </c>
      <c r="AF142" s="20">
        <v>2.379</v>
      </c>
      <c r="AG142" s="20">
        <v>1.8109999999999999</v>
      </c>
      <c r="AH142" s="20">
        <v>0</v>
      </c>
      <c r="AI142" s="20">
        <v>13.266</v>
      </c>
      <c r="AJ142" s="20">
        <v>1.155</v>
      </c>
      <c r="AK142" s="20">
        <v>0.13300000000000001</v>
      </c>
      <c r="AL142" s="20">
        <v>0.996</v>
      </c>
      <c r="AM142" s="20">
        <v>0</v>
      </c>
      <c r="AN142" s="20">
        <v>0.35799999999999998</v>
      </c>
      <c r="AO142" s="20">
        <v>0.47299999999999998</v>
      </c>
      <c r="AP142" s="20">
        <v>1.2370000000000001</v>
      </c>
      <c r="AQ142" s="20">
        <v>9.5559999999999992</v>
      </c>
      <c r="AR142" s="22">
        <f t="shared" si="27"/>
        <v>445.27</v>
      </c>
    </row>
    <row r="143" spans="1:44" s="14" customFormat="1" hidden="1" outlineLevel="1" x14ac:dyDescent="0.3">
      <c r="A143" s="44">
        <v>45444</v>
      </c>
      <c r="B143" s="31">
        <f t="shared" si="26"/>
        <v>44.95</v>
      </c>
      <c r="C143" s="29">
        <v>23.445</v>
      </c>
      <c r="D143" s="29">
        <v>21.504999999999999</v>
      </c>
      <c r="E143" s="20">
        <v>6.0949999999999998</v>
      </c>
      <c r="F143" s="20">
        <v>0</v>
      </c>
      <c r="G143" s="20">
        <v>14.599</v>
      </c>
      <c r="H143" s="20">
        <v>22.157</v>
      </c>
      <c r="I143" s="20">
        <v>7.3129999999999997</v>
      </c>
      <c r="J143" s="23">
        <v>95.114000000000004</v>
      </c>
      <c r="K143" s="20">
        <v>113.99631100000001</v>
      </c>
      <c r="L143" s="20">
        <v>24.64</v>
      </c>
      <c r="M143" s="20">
        <v>0</v>
      </c>
      <c r="N143" s="20">
        <v>6.3869999999999996</v>
      </c>
      <c r="O143" s="20">
        <v>48.402999999999999</v>
      </c>
      <c r="P143" s="20">
        <v>12.765000000000001</v>
      </c>
      <c r="Q143" s="20">
        <v>3.1240000000000001</v>
      </c>
      <c r="R143" s="21">
        <v>15.888999999999999</v>
      </c>
      <c r="S143" s="20">
        <v>8.6829999999999998</v>
      </c>
      <c r="T143" s="20">
        <v>11.194000000000001</v>
      </c>
      <c r="U143" s="20">
        <v>11.145</v>
      </c>
      <c r="V143" s="20">
        <v>0.96799999999999997</v>
      </c>
      <c r="W143" s="20">
        <v>2.996</v>
      </c>
      <c r="X143" s="20">
        <v>3.0880000000000001</v>
      </c>
      <c r="Y143" s="21">
        <v>6.0839999999999996</v>
      </c>
      <c r="Z143" s="20">
        <v>27.111999999999998</v>
      </c>
      <c r="AA143" s="20">
        <v>6.4240000000000004</v>
      </c>
      <c r="AB143" s="20">
        <v>6.2889999999999997</v>
      </c>
      <c r="AC143" s="20">
        <v>9.1280000000000001</v>
      </c>
      <c r="AD143" s="20">
        <v>7.0759999999999996</v>
      </c>
      <c r="AE143" s="20">
        <v>19.361999999999998</v>
      </c>
      <c r="AF143" s="20">
        <v>3.1819999999999999</v>
      </c>
      <c r="AG143" s="20">
        <v>1.603</v>
      </c>
      <c r="AH143" s="20">
        <v>0</v>
      </c>
      <c r="AI143" s="20">
        <v>13.423999999999999</v>
      </c>
      <c r="AJ143" s="20">
        <v>0.71399999999999997</v>
      </c>
      <c r="AK143" s="20">
        <v>0.11899999999999999</v>
      </c>
      <c r="AL143" s="20">
        <v>0.98499999999999999</v>
      </c>
      <c r="AM143" s="20">
        <v>0</v>
      </c>
      <c r="AN143" s="20">
        <v>0.29699999999999999</v>
      </c>
      <c r="AO143" s="20">
        <v>0.35</v>
      </c>
      <c r="AP143" s="20">
        <v>1.4379999999999999</v>
      </c>
      <c r="AQ143" s="20">
        <v>8.625</v>
      </c>
      <c r="AR143" s="22">
        <f t="shared" si="27"/>
        <v>448.63131100000015</v>
      </c>
    </row>
    <row r="144" spans="1:44" s="14" customFormat="1" hidden="1" outlineLevel="1" x14ac:dyDescent="0.3">
      <c r="A144" s="44">
        <v>45474</v>
      </c>
      <c r="B144" s="31">
        <f t="shared" si="26"/>
        <v>48.661999999999999</v>
      </c>
      <c r="C144" s="29">
        <v>25.849</v>
      </c>
      <c r="D144" s="29">
        <v>22.812999999999999</v>
      </c>
      <c r="E144" s="20">
        <v>3.7450000000000001</v>
      </c>
      <c r="F144" s="20">
        <v>0</v>
      </c>
      <c r="G144" s="20">
        <v>15.292</v>
      </c>
      <c r="H144" s="20">
        <v>26.477</v>
      </c>
      <c r="I144" s="20">
        <v>9.9309999999999992</v>
      </c>
      <c r="J144" s="23">
        <v>104.107</v>
      </c>
      <c r="K144" s="20">
        <v>106.47</v>
      </c>
      <c r="L144" s="20">
        <v>20.140999999999998</v>
      </c>
      <c r="M144" s="20">
        <v>0</v>
      </c>
      <c r="N144" s="20">
        <v>5.55</v>
      </c>
      <c r="O144" s="20">
        <v>46.984999999999999</v>
      </c>
      <c r="P144" s="20">
        <v>12.965</v>
      </c>
      <c r="Q144" s="20">
        <v>3.7149999999999999</v>
      </c>
      <c r="R144" s="21">
        <v>16.68</v>
      </c>
      <c r="S144" s="20">
        <v>7.9829999999999997</v>
      </c>
      <c r="T144" s="20">
        <v>12.249000000000001</v>
      </c>
      <c r="U144" s="20">
        <v>9.5039999999999996</v>
      </c>
      <c r="V144" s="20">
        <v>1.0329999999999999</v>
      </c>
      <c r="W144" s="20">
        <v>2.5030000000000001</v>
      </c>
      <c r="X144" s="20">
        <v>5.1440000000000001</v>
      </c>
      <c r="Y144" s="21">
        <v>7.6470000000000002</v>
      </c>
      <c r="Z144" s="20">
        <v>26.73</v>
      </c>
      <c r="AA144" s="20">
        <v>6.3769999999999998</v>
      </c>
      <c r="AB144" s="20">
        <v>8.0020000000000007</v>
      </c>
      <c r="AC144" s="20">
        <v>9.0399999999999991</v>
      </c>
      <c r="AD144" s="20">
        <v>6.718</v>
      </c>
      <c r="AE144" s="20">
        <v>15.026999999999999</v>
      </c>
      <c r="AF144" s="20">
        <v>4.202</v>
      </c>
      <c r="AG144" s="20">
        <v>1.5029999999999999</v>
      </c>
      <c r="AH144" s="20">
        <v>0</v>
      </c>
      <c r="AI144" s="20">
        <v>11.409000000000001</v>
      </c>
      <c r="AJ144" s="20">
        <v>1.208</v>
      </c>
      <c r="AK144" s="20">
        <v>0.123</v>
      </c>
      <c r="AL144" s="20">
        <v>0.90100000000000002</v>
      </c>
      <c r="AM144" s="20">
        <v>0</v>
      </c>
      <c r="AN144" s="20">
        <v>0.35199999999999998</v>
      </c>
      <c r="AO144" s="20">
        <v>0.38300000000000001</v>
      </c>
      <c r="AP144" s="20">
        <v>1.4630000000000001</v>
      </c>
      <c r="AQ144" s="20">
        <v>8.9330000000000016</v>
      </c>
      <c r="AR144" s="22">
        <f t="shared" si="27"/>
        <v>440.72</v>
      </c>
    </row>
    <row r="145" spans="1:45" s="14" customFormat="1" hidden="1" outlineLevel="1" x14ac:dyDescent="0.3">
      <c r="A145" s="44">
        <v>45505</v>
      </c>
      <c r="B145" s="28">
        <f t="shared" si="26"/>
        <v>46.557000000000002</v>
      </c>
      <c r="C145" s="32">
        <v>23.452000000000002</v>
      </c>
      <c r="D145" s="20">
        <v>23.105</v>
      </c>
      <c r="E145" s="20">
        <v>12.664</v>
      </c>
      <c r="F145" s="20">
        <v>0</v>
      </c>
      <c r="G145" s="20">
        <v>14.564</v>
      </c>
      <c r="H145" s="20">
        <v>35.951000000000001</v>
      </c>
      <c r="I145" s="20">
        <v>8.7070000000000007</v>
      </c>
      <c r="J145" s="21">
        <v>118.443</v>
      </c>
      <c r="K145" s="20">
        <v>105.29300000000001</v>
      </c>
      <c r="L145" s="20">
        <v>18.562999999999999</v>
      </c>
      <c r="M145" s="20">
        <v>0</v>
      </c>
      <c r="N145" s="20">
        <v>6.0750000000000002</v>
      </c>
      <c r="O145" s="20">
        <v>48.762999999999998</v>
      </c>
      <c r="P145" s="20">
        <v>12.278</v>
      </c>
      <c r="Q145" s="20">
        <v>3.3</v>
      </c>
      <c r="R145" s="21">
        <v>15.577999999999999</v>
      </c>
      <c r="S145" s="20">
        <v>7.6139999999999999</v>
      </c>
      <c r="T145" s="20">
        <v>14.824999999999999</v>
      </c>
      <c r="U145" s="20">
        <v>8.1199999999999992</v>
      </c>
      <c r="V145" s="20">
        <v>1.333</v>
      </c>
      <c r="W145" s="20">
        <v>3.641</v>
      </c>
      <c r="X145" s="20">
        <v>5.2149999999999999</v>
      </c>
      <c r="Y145" s="21">
        <v>8.8559999999999999</v>
      </c>
      <c r="Z145" s="20">
        <v>27.253</v>
      </c>
      <c r="AA145" s="20">
        <v>7.1029999999999998</v>
      </c>
      <c r="AB145" s="20">
        <v>10.382</v>
      </c>
      <c r="AC145" s="20">
        <v>8.6959999999999997</v>
      </c>
      <c r="AD145" s="20">
        <v>7.0140000000000002</v>
      </c>
      <c r="AE145" s="20">
        <v>19.689</v>
      </c>
      <c r="AF145" s="20">
        <v>3.8039999999999998</v>
      </c>
      <c r="AG145" s="20">
        <v>1.502</v>
      </c>
      <c r="AH145" s="20">
        <v>0</v>
      </c>
      <c r="AI145" s="20">
        <v>14.817</v>
      </c>
      <c r="AJ145" s="20">
        <v>0.70399999999999996</v>
      </c>
      <c r="AK145" s="20">
        <v>0.115</v>
      </c>
      <c r="AL145" s="20">
        <v>0.93100000000000005</v>
      </c>
      <c r="AM145" s="20">
        <v>0</v>
      </c>
      <c r="AN145" s="20">
        <v>0.35</v>
      </c>
      <c r="AO145" s="20">
        <v>0.35199999999999998</v>
      </c>
      <c r="AP145" s="20">
        <v>1.45</v>
      </c>
      <c r="AQ145" s="20">
        <v>9.1120000000000001</v>
      </c>
      <c r="AR145" s="22">
        <f t="shared" si="27"/>
        <v>466.73700000000002</v>
      </c>
    </row>
    <row r="146" spans="1:45" s="14" customFormat="1" hidden="1" outlineLevel="1" x14ac:dyDescent="0.3">
      <c r="A146" s="44">
        <v>45536</v>
      </c>
      <c r="B146" s="28">
        <f t="shared" si="26"/>
        <v>46.243000000000002</v>
      </c>
      <c r="C146" s="20">
        <v>22.838000000000001</v>
      </c>
      <c r="D146" s="20">
        <v>23.405000000000001</v>
      </c>
      <c r="E146" s="20">
        <v>12.641999999999999</v>
      </c>
      <c r="F146" s="20">
        <v>0</v>
      </c>
      <c r="G146" s="20">
        <v>15.287000000000001</v>
      </c>
      <c r="H146" s="20">
        <v>34.521000000000001</v>
      </c>
      <c r="I146" s="20">
        <v>7.2210000000000001</v>
      </c>
      <c r="J146" s="21">
        <v>115.91400000000002</v>
      </c>
      <c r="K146" s="20">
        <v>101.515</v>
      </c>
      <c r="L146" s="20">
        <v>21.431999999999999</v>
      </c>
      <c r="M146" s="20">
        <v>0</v>
      </c>
      <c r="N146" s="20">
        <v>5.9359999999999999</v>
      </c>
      <c r="O146" s="20">
        <v>51.384999999999998</v>
      </c>
      <c r="P146" s="20">
        <v>11.326000000000001</v>
      </c>
      <c r="Q146" s="20">
        <v>4.2309999999999999</v>
      </c>
      <c r="R146" s="21">
        <v>15.557</v>
      </c>
      <c r="S146" s="20">
        <v>8.2490000000000006</v>
      </c>
      <c r="T146" s="20">
        <v>17.163</v>
      </c>
      <c r="U146" s="20">
        <v>11.259</v>
      </c>
      <c r="V146" s="20">
        <v>1.6659999999999999</v>
      </c>
      <c r="W146" s="20">
        <v>3.8290000000000002</v>
      </c>
      <c r="X146" s="20">
        <v>7.1217274917495432</v>
      </c>
      <c r="Y146" s="21">
        <v>10.950727491749543</v>
      </c>
      <c r="Z146" s="20">
        <v>28.15</v>
      </c>
      <c r="AA146" s="20">
        <v>7.16</v>
      </c>
      <c r="AB146" s="20">
        <v>13.2</v>
      </c>
      <c r="AC146" s="20">
        <v>8.3789999999999996</v>
      </c>
      <c r="AD146" s="20">
        <v>5.6159999999999997</v>
      </c>
      <c r="AE146" s="20">
        <v>17.763999999999999</v>
      </c>
      <c r="AF146" s="20">
        <v>3.528</v>
      </c>
      <c r="AG146" s="20">
        <v>1.5529999999999999</v>
      </c>
      <c r="AH146" s="20">
        <v>0</v>
      </c>
      <c r="AI146" s="20">
        <v>14.804</v>
      </c>
      <c r="AJ146" s="20">
        <v>0.92900000000000005</v>
      </c>
      <c r="AK146" s="20">
        <v>0.105</v>
      </c>
      <c r="AL146" s="20">
        <v>1.054</v>
      </c>
      <c r="AM146" s="20">
        <v>0</v>
      </c>
      <c r="AN146" s="20">
        <v>0.307</v>
      </c>
      <c r="AO146" s="20">
        <v>0.36099999999999999</v>
      </c>
      <c r="AP146" s="20">
        <v>1.337</v>
      </c>
      <c r="AQ146" s="20">
        <v>9.8669999999999991</v>
      </c>
      <c r="AR146" s="22">
        <f t="shared" si="27"/>
        <v>475.1407274917496</v>
      </c>
    </row>
    <row r="147" spans="1:45" s="14" customFormat="1" hidden="1" outlineLevel="1" x14ac:dyDescent="0.3">
      <c r="A147" s="44">
        <v>45566</v>
      </c>
      <c r="B147" s="28">
        <f t="shared" si="26"/>
        <v>46.323999999999998</v>
      </c>
      <c r="C147" s="20">
        <v>24.782</v>
      </c>
      <c r="D147" s="20">
        <v>21.542000000000002</v>
      </c>
      <c r="E147" s="20">
        <v>13.816000000000001</v>
      </c>
      <c r="F147" s="20">
        <v>1.6839999999999999</v>
      </c>
      <c r="G147" s="20">
        <v>12.657999999999999</v>
      </c>
      <c r="H147" s="20">
        <v>35.988999999999997</v>
      </c>
      <c r="I147" s="20">
        <v>9.4030000000000005</v>
      </c>
      <c r="J147" s="21">
        <v>119.874</v>
      </c>
      <c r="K147" s="20">
        <v>107.976</v>
      </c>
      <c r="L147" s="20">
        <v>22.579000000000001</v>
      </c>
      <c r="M147" s="20">
        <v>0</v>
      </c>
      <c r="N147" s="20">
        <v>6.359</v>
      </c>
      <c r="O147" s="20">
        <v>49.545000000000002</v>
      </c>
      <c r="P147" s="20">
        <v>12.035</v>
      </c>
      <c r="Q147" s="20">
        <v>4.194</v>
      </c>
      <c r="R147" s="21">
        <v>16.228999999999999</v>
      </c>
      <c r="S147" s="20">
        <v>9.6859999999999999</v>
      </c>
      <c r="T147" s="20">
        <v>16.626999999999999</v>
      </c>
      <c r="U147" s="20">
        <v>10.004</v>
      </c>
      <c r="V147" s="20">
        <v>1.6830000000000001</v>
      </c>
      <c r="W147" s="20">
        <v>4.4630000000000001</v>
      </c>
      <c r="X147" s="20">
        <v>6.30192595419825</v>
      </c>
      <c r="Y147" s="21">
        <v>10.764925954198251</v>
      </c>
      <c r="Z147" s="20">
        <v>30.123000000000001</v>
      </c>
      <c r="AA147" s="20">
        <v>7.3920000000000003</v>
      </c>
      <c r="AB147" s="20">
        <v>14.916</v>
      </c>
      <c r="AC147" s="20">
        <v>7.89</v>
      </c>
      <c r="AD147" s="20">
        <v>6.9379999999999997</v>
      </c>
      <c r="AE147" s="20">
        <v>16.396999999999998</v>
      </c>
      <c r="AF147" s="20">
        <v>4.9470000000000001</v>
      </c>
      <c r="AG147" s="20">
        <v>1.546</v>
      </c>
      <c r="AH147" s="20">
        <v>0</v>
      </c>
      <c r="AI147" s="20">
        <v>12.894</v>
      </c>
      <c r="AJ147" s="20">
        <v>1.234</v>
      </c>
      <c r="AK147" s="20">
        <v>0.109</v>
      </c>
      <c r="AL147" s="20">
        <v>1.159</v>
      </c>
      <c r="AM147" s="20">
        <v>0</v>
      </c>
      <c r="AN147" s="20">
        <v>0.36</v>
      </c>
      <c r="AO147" s="20">
        <v>0.33</v>
      </c>
      <c r="AP147" s="20">
        <v>1.498</v>
      </c>
      <c r="AQ147" s="20">
        <v>9.8610000000000007</v>
      </c>
      <c r="AR147" s="22">
        <f t="shared" si="27"/>
        <v>488.9209259541982</v>
      </c>
    </row>
    <row r="148" spans="1:45" s="14" customFormat="1" hidden="1" outlineLevel="1" x14ac:dyDescent="0.3">
      <c r="A148" s="44">
        <v>45597</v>
      </c>
      <c r="B148" s="28">
        <f t="shared" si="26"/>
        <v>50.698</v>
      </c>
      <c r="C148" s="20">
        <v>26.324000000000002</v>
      </c>
      <c r="D148" s="20">
        <v>24.373999999999999</v>
      </c>
      <c r="E148" s="20">
        <v>19.02</v>
      </c>
      <c r="F148" s="20">
        <v>1.1240000000000001</v>
      </c>
      <c r="G148" s="20">
        <v>13.048999999999999</v>
      </c>
      <c r="H148" s="20">
        <v>33.554000000000002</v>
      </c>
      <c r="I148" s="20">
        <v>8.0739999999999998</v>
      </c>
      <c r="J148" s="21">
        <v>125.51900000000001</v>
      </c>
      <c r="K148" s="20">
        <v>108.22499999999999</v>
      </c>
      <c r="L148" s="20">
        <v>22.721</v>
      </c>
      <c r="M148" s="20">
        <v>0</v>
      </c>
      <c r="N148" s="20">
        <v>6.556</v>
      </c>
      <c r="O148" s="20">
        <v>36.694000000000003</v>
      </c>
      <c r="P148" s="20">
        <v>12.625</v>
      </c>
      <c r="Q148" s="20">
        <v>4.0460000000000003</v>
      </c>
      <c r="R148" s="21">
        <v>16.670999999999999</v>
      </c>
      <c r="S148" s="20">
        <v>7.7720000000000002</v>
      </c>
      <c r="T148" s="20">
        <v>11.683</v>
      </c>
      <c r="U148" s="20">
        <v>11.407999999999999</v>
      </c>
      <c r="V148" s="20">
        <v>1.7470000000000001</v>
      </c>
      <c r="W148" s="20">
        <v>4.6449999999999996</v>
      </c>
      <c r="X148" s="20">
        <v>7.739573671225882</v>
      </c>
      <c r="Y148" s="21">
        <v>12.384573671225882</v>
      </c>
      <c r="Z148" s="20">
        <v>27.646999999999998</v>
      </c>
      <c r="AA148" s="20">
        <v>7.5650000000000004</v>
      </c>
      <c r="AB148" s="20">
        <v>15.156000000000001</v>
      </c>
      <c r="AC148" s="20">
        <v>8.7010000000000005</v>
      </c>
      <c r="AD148" s="20">
        <v>6.4219999999999997</v>
      </c>
      <c r="AE148" s="20">
        <v>22.123000000000001</v>
      </c>
      <c r="AF148" s="20">
        <v>3.2690000000000001</v>
      </c>
      <c r="AG148" s="20">
        <v>1.516</v>
      </c>
      <c r="AH148" s="20">
        <v>0</v>
      </c>
      <c r="AI148" s="20">
        <v>15.55</v>
      </c>
      <c r="AJ148" s="20">
        <v>1.1040000000000001</v>
      </c>
      <c r="AK148" s="20">
        <v>0.11600000000000001</v>
      </c>
      <c r="AL148" s="20">
        <v>1.026</v>
      </c>
      <c r="AM148" s="20">
        <v>0</v>
      </c>
      <c r="AN148" s="20">
        <v>0.32700000000000001</v>
      </c>
      <c r="AO148" s="20">
        <v>0.27</v>
      </c>
      <c r="AP148" s="20">
        <v>1.5109999999999999</v>
      </c>
      <c r="AQ148" s="20">
        <v>10.552999999999999</v>
      </c>
      <c r="AR148" s="22">
        <f t="shared" si="27"/>
        <v>484.23657367122587</v>
      </c>
    </row>
    <row r="149" spans="1:45" s="14" customFormat="1" hidden="1" outlineLevel="1" x14ac:dyDescent="0.3">
      <c r="A149" s="44">
        <v>45627</v>
      </c>
      <c r="B149" s="28">
        <f t="shared" si="26"/>
        <v>71.102000000000004</v>
      </c>
      <c r="C149" s="20">
        <v>43.06</v>
      </c>
      <c r="D149" s="20">
        <v>28.042000000000002</v>
      </c>
      <c r="E149" s="20">
        <v>24.707000000000001</v>
      </c>
      <c r="F149" s="20">
        <v>2.8650000000000002</v>
      </c>
      <c r="G149" s="20">
        <v>16.298999999999999</v>
      </c>
      <c r="H149" s="20">
        <v>41.345999999999997</v>
      </c>
      <c r="I149" s="20">
        <v>8.4659999999999993</v>
      </c>
      <c r="J149" s="21">
        <v>164.785</v>
      </c>
      <c r="K149" s="20">
        <v>133.614</v>
      </c>
      <c r="L149" s="20">
        <v>20.841000000000001</v>
      </c>
      <c r="M149" s="20">
        <v>0</v>
      </c>
      <c r="N149" s="20">
        <v>6.3949999999999996</v>
      </c>
      <c r="O149" s="20">
        <v>41.195</v>
      </c>
      <c r="P149" s="20">
        <v>14.061999999999999</v>
      </c>
      <c r="Q149" s="20">
        <v>4.282</v>
      </c>
      <c r="R149" s="21">
        <v>18.344000000000001</v>
      </c>
      <c r="S149" s="20">
        <v>8.6850000000000005</v>
      </c>
      <c r="T149" s="20">
        <v>13.715</v>
      </c>
      <c r="U149" s="20">
        <v>10.324999999999999</v>
      </c>
      <c r="V149" s="20">
        <v>1.615</v>
      </c>
      <c r="W149" s="20">
        <v>4.4550000000000001</v>
      </c>
      <c r="X149" s="20">
        <v>7.9876102447375104</v>
      </c>
      <c r="Y149" s="21">
        <v>12.44261024473751</v>
      </c>
      <c r="Z149" s="20">
        <v>29.673999999999999</v>
      </c>
      <c r="AA149" s="20">
        <v>8.1569618773103443</v>
      </c>
      <c r="AB149" s="20">
        <v>16.547000000000001</v>
      </c>
      <c r="AC149" s="20">
        <v>9.9060000000000006</v>
      </c>
      <c r="AD149" s="20">
        <v>7.3940000000000001</v>
      </c>
      <c r="AE149" s="20">
        <v>22.143000000000001</v>
      </c>
      <c r="AF149" s="20">
        <v>5.0119999999999996</v>
      </c>
      <c r="AG149" s="20">
        <v>1.768</v>
      </c>
      <c r="AH149" s="20">
        <v>0</v>
      </c>
      <c r="AI149" s="20">
        <v>16.134</v>
      </c>
      <c r="AJ149" s="20">
        <v>0.95899999999999996</v>
      </c>
      <c r="AK149" s="20">
        <v>0.111</v>
      </c>
      <c r="AL149" s="20">
        <v>0.90200000000000002</v>
      </c>
      <c r="AM149" s="20">
        <v>0</v>
      </c>
      <c r="AN149" s="20">
        <v>0.38</v>
      </c>
      <c r="AO149" s="20">
        <v>0.36499999999999999</v>
      </c>
      <c r="AP149" s="20">
        <v>1.524</v>
      </c>
      <c r="AQ149" s="20">
        <v>10.667</v>
      </c>
      <c r="AR149" s="22">
        <f t="shared" si="27"/>
        <v>563.59957212204779</v>
      </c>
    </row>
    <row r="150" spans="1:45" s="14" customFormat="1" collapsed="1" x14ac:dyDescent="0.3">
      <c r="A150" s="45" t="s">
        <v>43</v>
      </c>
      <c r="B150" s="24">
        <f>SUM(B138:B149)</f>
        <v>559.49199999999996</v>
      </c>
      <c r="C150" s="24">
        <f>SUM(C138:C149)</f>
        <v>289.01300000000003</v>
      </c>
      <c r="D150" s="24">
        <f t="shared" ref="D150:AP150" si="28">SUM(D138:D149)</f>
        <v>270.47899999999998</v>
      </c>
      <c r="E150" s="24">
        <f t="shared" si="28"/>
        <v>122.208</v>
      </c>
      <c r="F150" s="24">
        <f t="shared" si="28"/>
        <v>5.673</v>
      </c>
      <c r="G150" s="24">
        <f t="shared" si="28"/>
        <v>181.60900000000001</v>
      </c>
      <c r="H150" s="24">
        <f t="shared" si="28"/>
        <v>356.37300000000005</v>
      </c>
      <c r="I150" s="24">
        <f t="shared" si="28"/>
        <v>103.075</v>
      </c>
      <c r="J150" s="25">
        <f t="shared" si="28"/>
        <v>1328.43</v>
      </c>
      <c r="K150" s="24">
        <f t="shared" si="28"/>
        <v>1277.539311</v>
      </c>
      <c r="L150" s="24">
        <f>SUM(L138:L149)</f>
        <v>255.58600000000001</v>
      </c>
      <c r="M150" s="24">
        <f>SUM(M138:M149)</f>
        <v>0</v>
      </c>
      <c r="N150" s="24">
        <f>SUM(N138:N149)</f>
        <v>74.393000000000001</v>
      </c>
      <c r="O150" s="24">
        <f t="shared" si="28"/>
        <v>558.61099999999999</v>
      </c>
      <c r="P150" s="24">
        <f t="shared" si="28"/>
        <v>172.44499999999999</v>
      </c>
      <c r="Q150" s="24">
        <f t="shared" si="28"/>
        <v>48.17</v>
      </c>
      <c r="R150" s="26">
        <f t="shared" si="28"/>
        <v>220.61500000000001</v>
      </c>
      <c r="S150" s="24">
        <f t="shared" si="28"/>
        <v>99.096999999999994</v>
      </c>
      <c r="T150" s="24">
        <f t="shared" si="28"/>
        <v>142.066</v>
      </c>
      <c r="U150" s="24">
        <f>SUM(U138:U149)</f>
        <v>124.61200000000001</v>
      </c>
      <c r="V150" s="24">
        <f>SUM(V138:V149)</f>
        <v>14.735000000000001</v>
      </c>
      <c r="W150" s="24">
        <f t="shared" si="28"/>
        <v>44.569999999999993</v>
      </c>
      <c r="X150" s="24">
        <f t="shared" si="28"/>
        <v>57.705837361911193</v>
      </c>
      <c r="Y150" s="26">
        <f t="shared" si="28"/>
        <v>102.27583736191119</v>
      </c>
      <c r="Z150" s="24">
        <f>SUM(Z138:Z149)</f>
        <v>331.22799999999995</v>
      </c>
      <c r="AA150" s="24">
        <f t="shared" si="28"/>
        <v>82.845961877310344</v>
      </c>
      <c r="AB150" s="24">
        <f>SUM(AB138:AB149)</f>
        <v>121.839</v>
      </c>
      <c r="AC150" s="24">
        <f t="shared" si="28"/>
        <v>102.00300000000001</v>
      </c>
      <c r="AD150" s="24">
        <f>SUM(AD138:AD149)</f>
        <v>80.379000000000005</v>
      </c>
      <c r="AE150" s="24">
        <f t="shared" si="28"/>
        <v>207.768</v>
      </c>
      <c r="AF150" s="24">
        <f>SUM(AF138:AF149)</f>
        <v>39.744999999999997</v>
      </c>
      <c r="AG150" s="24">
        <f t="shared" si="28"/>
        <v>19.913000000000004</v>
      </c>
      <c r="AH150" s="24">
        <f>SUM(AH138:AH149)</f>
        <v>0</v>
      </c>
      <c r="AI150" s="24">
        <f t="shared" si="28"/>
        <v>154.55900000000003</v>
      </c>
      <c r="AJ150" s="24">
        <f t="shared" si="28"/>
        <v>11.500999999999998</v>
      </c>
      <c r="AK150" s="24">
        <f t="shared" si="28"/>
        <v>1.496</v>
      </c>
      <c r="AL150" s="24">
        <f t="shared" si="28"/>
        <v>12.189</v>
      </c>
      <c r="AM150" s="24">
        <f t="shared" si="28"/>
        <v>0</v>
      </c>
      <c r="AN150" s="24">
        <f t="shared" si="28"/>
        <v>4.1820000000000004</v>
      </c>
      <c r="AO150" s="24">
        <f t="shared" si="28"/>
        <v>4.6460000000000008</v>
      </c>
      <c r="AP150" s="24">
        <f t="shared" si="28"/>
        <v>15.616999999999997</v>
      </c>
      <c r="AQ150" s="24">
        <v>118.15899999999999</v>
      </c>
      <c r="AR150" s="27">
        <f>SUM(AR138:AR149)</f>
        <v>5506.0301102392223</v>
      </c>
    </row>
    <row r="151" spans="1:45" s="14" customFormat="1" hidden="1" outlineLevel="1" x14ac:dyDescent="0.3">
      <c r="A151" s="44">
        <v>45658</v>
      </c>
      <c r="B151" s="31">
        <f t="shared" ref="B151:B162" si="29">C151+D151</f>
        <v>33.942</v>
      </c>
      <c r="C151" s="29">
        <v>13.055</v>
      </c>
      <c r="D151" s="29">
        <v>20.887</v>
      </c>
      <c r="E151" s="20">
        <v>11.2</v>
      </c>
      <c r="F151" s="20">
        <v>0.90700000000000003</v>
      </c>
      <c r="G151" s="20">
        <v>14.098000000000001</v>
      </c>
      <c r="H151" s="20">
        <v>25.733000000000001</v>
      </c>
      <c r="I151" s="20">
        <v>6.8739999999999997</v>
      </c>
      <c r="J151" s="23">
        <v>92.754000000000019</v>
      </c>
      <c r="K151" s="20">
        <v>109.41200000000001</v>
      </c>
      <c r="L151" s="20">
        <v>24.591000000000001</v>
      </c>
      <c r="M151" s="20">
        <v>0</v>
      </c>
      <c r="N151" s="20">
        <v>6.242</v>
      </c>
      <c r="O151" s="20">
        <v>28.018999999999998</v>
      </c>
      <c r="P151" s="20">
        <v>18.114999999999998</v>
      </c>
      <c r="Q151" s="20">
        <v>3.6379999999999999</v>
      </c>
      <c r="R151" s="21">
        <v>21.753</v>
      </c>
      <c r="S151" s="20">
        <v>9.7010000000000005</v>
      </c>
      <c r="T151" s="20">
        <v>10.406000000000001</v>
      </c>
      <c r="U151" s="20">
        <v>9.8629999999999995</v>
      </c>
      <c r="V151" s="20">
        <v>1.343</v>
      </c>
      <c r="W151" s="20">
        <v>4.7359999999999998</v>
      </c>
      <c r="X151" s="20">
        <v>8.9049999999999994</v>
      </c>
      <c r="Y151" s="21">
        <v>13.641</v>
      </c>
      <c r="Z151" s="20">
        <v>23.954000000000001</v>
      </c>
      <c r="AA151" s="20">
        <v>6.6379999999999999</v>
      </c>
      <c r="AB151" s="20">
        <v>10.271000000000001</v>
      </c>
      <c r="AC151" s="20">
        <v>6.8390000000000004</v>
      </c>
      <c r="AD151" s="20">
        <v>7.0650000000000004</v>
      </c>
      <c r="AE151" s="20">
        <v>8.2449999999999992</v>
      </c>
      <c r="AF151" s="20">
        <v>4.4610000000000003</v>
      </c>
      <c r="AG151" s="20">
        <v>1.472</v>
      </c>
      <c r="AH151" s="20">
        <v>0</v>
      </c>
      <c r="AI151" s="20">
        <v>12.3</v>
      </c>
      <c r="AJ151" s="20">
        <v>0.97499999999999998</v>
      </c>
      <c r="AK151" s="20">
        <v>9.8000000000000004E-2</v>
      </c>
      <c r="AL151" s="20">
        <v>0.89200000000000002</v>
      </c>
      <c r="AM151" s="20">
        <v>0</v>
      </c>
      <c r="AN151" s="20">
        <v>0.35399999999999998</v>
      </c>
      <c r="AO151" s="20">
        <v>0.313</v>
      </c>
      <c r="AP151" s="20">
        <v>1.649</v>
      </c>
      <c r="AQ151" s="20">
        <v>9.4939999999999998</v>
      </c>
      <c r="AR151" s="22">
        <f t="shared" ref="AR151:AR162" si="30">SUM(E151:I151,B151,K151:Q151,S151:X151,Z151:AQ151)</f>
        <v>422.745</v>
      </c>
      <c r="AS151" s="47"/>
    </row>
    <row r="152" spans="1:45" s="14" customFormat="1" hidden="1" outlineLevel="1" x14ac:dyDescent="0.3">
      <c r="A152" s="44">
        <v>45689</v>
      </c>
      <c r="B152" s="31">
        <f t="shared" si="29"/>
        <v>32.258000000000003</v>
      </c>
      <c r="C152" s="29">
        <v>13.65</v>
      </c>
      <c r="D152" s="29">
        <v>18.608000000000001</v>
      </c>
      <c r="E152" s="20">
        <v>9.1</v>
      </c>
      <c r="F152" s="20">
        <v>1.4730000000000001</v>
      </c>
      <c r="G152" s="20">
        <v>14.401</v>
      </c>
      <c r="H152" s="20">
        <v>26.986000000000001</v>
      </c>
      <c r="I152" s="20">
        <v>5.3259999999999996</v>
      </c>
      <c r="J152" s="23">
        <v>89.544000000000011</v>
      </c>
      <c r="K152" s="20">
        <v>113.37</v>
      </c>
      <c r="L152" s="20">
        <v>20.09</v>
      </c>
      <c r="M152" s="20">
        <v>0</v>
      </c>
      <c r="N152" s="20">
        <v>4.1349999999999998</v>
      </c>
      <c r="O152" s="20">
        <v>16.981000000000002</v>
      </c>
      <c r="P152" s="20">
        <v>11.875</v>
      </c>
      <c r="Q152" s="20">
        <v>3.7930000000000001</v>
      </c>
      <c r="R152" s="21">
        <v>15.667999999999999</v>
      </c>
      <c r="S152" s="20">
        <v>8.1349999999999998</v>
      </c>
      <c r="T152" s="20">
        <v>10.375999999999999</v>
      </c>
      <c r="U152" s="20">
        <v>9.3149999999999995</v>
      </c>
      <c r="V152" s="20">
        <v>1.1850000000000001</v>
      </c>
      <c r="W152" s="20">
        <v>3.9660000000000002</v>
      </c>
      <c r="X152" s="20">
        <v>6.1550000000000002</v>
      </c>
      <c r="Y152" s="21">
        <v>10.121</v>
      </c>
      <c r="Z152" s="20">
        <v>22.518999999999998</v>
      </c>
      <c r="AA152" s="20">
        <v>5.4589999999999996</v>
      </c>
      <c r="AB152" s="20">
        <v>11.971</v>
      </c>
      <c r="AC152" s="20">
        <v>6.016</v>
      </c>
      <c r="AD152" s="20">
        <v>6.1070000000000002</v>
      </c>
      <c r="AE152" s="20">
        <v>14.086</v>
      </c>
      <c r="AF152" s="20">
        <v>3.9689999999999999</v>
      </c>
      <c r="AG152" s="20">
        <v>1.4</v>
      </c>
      <c r="AH152" s="20">
        <v>0</v>
      </c>
      <c r="AI152" s="20">
        <v>11.958</v>
      </c>
      <c r="AJ152" s="20">
        <v>0.84799999999999998</v>
      </c>
      <c r="AK152" s="20">
        <v>0.104</v>
      </c>
      <c r="AL152" s="20">
        <v>0.80300000000000005</v>
      </c>
      <c r="AM152" s="20">
        <v>0</v>
      </c>
      <c r="AN152" s="20">
        <v>0.30499999999999999</v>
      </c>
      <c r="AO152" s="20">
        <v>0.245</v>
      </c>
      <c r="AP152" s="20">
        <v>1.367</v>
      </c>
      <c r="AQ152" s="20">
        <v>8.3990000000000009</v>
      </c>
      <c r="AR152" s="22">
        <f t="shared" si="30"/>
        <v>394.47600000000006</v>
      </c>
      <c r="AS152" s="47"/>
    </row>
    <row r="153" spans="1:45" s="14" customFormat="1" hidden="1" outlineLevel="1" x14ac:dyDescent="0.3">
      <c r="A153" s="44">
        <v>45717</v>
      </c>
      <c r="B153" s="31">
        <f t="shared" si="29"/>
        <v>46.063000000000002</v>
      </c>
      <c r="C153" s="29">
        <v>21.856000000000002</v>
      </c>
      <c r="D153" s="29">
        <v>24.207000000000001</v>
      </c>
      <c r="E153" s="20">
        <v>12.417</v>
      </c>
      <c r="F153" s="20">
        <v>4.0860000000000003</v>
      </c>
      <c r="G153" s="20">
        <v>16.645</v>
      </c>
      <c r="H153" s="20">
        <v>27.402999999999999</v>
      </c>
      <c r="I153" s="20">
        <v>6.62</v>
      </c>
      <c r="J153" s="23">
        <v>113.23399999999998</v>
      </c>
      <c r="K153" s="20">
        <v>120.617</v>
      </c>
      <c r="L153" s="20">
        <v>23.26</v>
      </c>
      <c r="M153" s="20">
        <v>0</v>
      </c>
      <c r="N153" s="20">
        <v>5.4720000000000004</v>
      </c>
      <c r="O153" s="20">
        <v>35.235999999999997</v>
      </c>
      <c r="P153" s="20">
        <v>13.359</v>
      </c>
      <c r="Q153" s="20">
        <v>2.8660000000000001</v>
      </c>
      <c r="R153" s="21">
        <v>16.225000000000001</v>
      </c>
      <c r="S153" s="20">
        <v>9.5619999999999994</v>
      </c>
      <c r="T153" s="20">
        <v>11.170999999999999</v>
      </c>
      <c r="U153" s="20">
        <v>9.532</v>
      </c>
      <c r="V153" s="20">
        <v>1.294</v>
      </c>
      <c r="W153" s="20">
        <v>5.1429999999999998</v>
      </c>
      <c r="X153" s="20">
        <v>7.48</v>
      </c>
      <c r="Y153" s="21">
        <v>12.622999999999999</v>
      </c>
      <c r="Z153" s="20">
        <v>26.579000000000001</v>
      </c>
      <c r="AA153" s="20">
        <v>6.2460000000000004</v>
      </c>
      <c r="AB153" s="20">
        <v>13.609</v>
      </c>
      <c r="AC153" s="20">
        <v>6.9130000000000003</v>
      </c>
      <c r="AD153" s="20">
        <v>7.0190000000000001</v>
      </c>
      <c r="AE153" s="20">
        <v>19.905000000000001</v>
      </c>
      <c r="AF153" s="20">
        <v>4.5540000000000003</v>
      </c>
      <c r="AG153" s="20">
        <v>1.5609999999999999</v>
      </c>
      <c r="AH153" s="20">
        <v>0</v>
      </c>
      <c r="AI153" s="20">
        <v>15.272</v>
      </c>
      <c r="AJ153" s="20">
        <v>1.0860000000000001</v>
      </c>
      <c r="AK153" s="20">
        <v>0.10100000000000001</v>
      </c>
      <c r="AL153" s="20">
        <v>0.97599999999999998</v>
      </c>
      <c r="AM153" s="20">
        <v>0</v>
      </c>
      <c r="AN153" s="20">
        <v>0.34799999999999998</v>
      </c>
      <c r="AO153" s="20">
        <v>0.311</v>
      </c>
      <c r="AP153" s="20">
        <v>1.6060000000000001</v>
      </c>
      <c r="AQ153" s="20">
        <v>9.5960000000000001</v>
      </c>
      <c r="AR153" s="22">
        <f t="shared" si="30"/>
        <v>473.90799999999979</v>
      </c>
      <c r="AS153" s="47"/>
    </row>
    <row r="154" spans="1:45" s="14" customFormat="1" hidden="1" outlineLevel="1" x14ac:dyDescent="0.3">
      <c r="A154" s="44">
        <v>45748</v>
      </c>
      <c r="B154" s="31">
        <f t="shared" si="29"/>
        <v>42.488999999999997</v>
      </c>
      <c r="C154" s="29">
        <v>18.364999999999998</v>
      </c>
      <c r="D154" s="29">
        <v>24.123999999999999</v>
      </c>
      <c r="E154" s="20">
        <v>10.381</v>
      </c>
      <c r="F154" s="20">
        <v>3.14</v>
      </c>
      <c r="G154" s="20">
        <v>11.863</v>
      </c>
      <c r="H154" s="20">
        <v>31.068000000000001</v>
      </c>
      <c r="I154" s="20">
        <v>6.6159999999999997</v>
      </c>
      <c r="J154" s="23">
        <v>105.55699999999999</v>
      </c>
      <c r="K154" s="20">
        <v>128.36000000000001</v>
      </c>
      <c r="L154" s="20">
        <v>20.481000000000002</v>
      </c>
      <c r="M154" s="20">
        <v>0</v>
      </c>
      <c r="N154" s="20">
        <v>5.2210000000000001</v>
      </c>
      <c r="O154" s="20">
        <v>36.567</v>
      </c>
      <c r="P154" s="20">
        <v>12.278</v>
      </c>
      <c r="Q154" s="20">
        <v>3.9750000000000001</v>
      </c>
      <c r="R154" s="21">
        <v>16.253</v>
      </c>
      <c r="S154" s="20">
        <v>8.3569999999999993</v>
      </c>
      <c r="T154" s="20">
        <v>12.069000000000001</v>
      </c>
      <c r="U154" s="20">
        <v>8.984</v>
      </c>
      <c r="V154" s="20">
        <v>1.8540000000000001</v>
      </c>
      <c r="W154" s="20">
        <v>5.3689999999999998</v>
      </c>
      <c r="X154" s="20">
        <v>7.3289999999999997</v>
      </c>
      <c r="Y154" s="21">
        <v>12.698</v>
      </c>
      <c r="Z154" s="20">
        <v>24.881</v>
      </c>
      <c r="AA154" s="20">
        <v>5.0590000000000002</v>
      </c>
      <c r="AB154" s="20">
        <v>13.707000000000001</v>
      </c>
      <c r="AC154" s="20">
        <v>6.133</v>
      </c>
      <c r="AD154" s="20">
        <v>6.258</v>
      </c>
      <c r="AE154" s="20">
        <v>16.739000000000001</v>
      </c>
      <c r="AF154" s="20">
        <v>4.9349999999999996</v>
      </c>
      <c r="AG154" s="20">
        <v>1.601</v>
      </c>
      <c r="AH154" s="20">
        <v>0</v>
      </c>
      <c r="AI154" s="20">
        <v>12.007</v>
      </c>
      <c r="AJ154" s="20">
        <v>0.92300000000000004</v>
      </c>
      <c r="AK154" s="20">
        <v>0.10299999999999999</v>
      </c>
      <c r="AL154" s="20">
        <v>1.002</v>
      </c>
      <c r="AM154" s="20">
        <v>0</v>
      </c>
      <c r="AN154" s="20">
        <v>0.34499999999999997</v>
      </c>
      <c r="AO154" s="20">
        <v>0.23699999999999999</v>
      </c>
      <c r="AP154" s="20">
        <v>1.498</v>
      </c>
      <c r="AQ154" s="20">
        <v>8.8429999999999982</v>
      </c>
      <c r="AR154" s="22">
        <f t="shared" si="30"/>
        <v>460.67200000000008</v>
      </c>
    </row>
    <row r="155" spans="1:45" s="14" customFormat="1" hidden="1" outlineLevel="1" x14ac:dyDescent="0.3">
      <c r="A155" s="44">
        <v>45778</v>
      </c>
      <c r="B155" s="31">
        <f t="shared" si="29"/>
        <v>52.646000000000001</v>
      </c>
      <c r="C155" s="29">
        <v>26.887</v>
      </c>
      <c r="D155" s="29">
        <v>25.759</v>
      </c>
      <c r="E155" s="20">
        <v>13.795999999999999</v>
      </c>
      <c r="F155" s="20">
        <v>3.4460000000000002</v>
      </c>
      <c r="G155" s="20">
        <v>13.911</v>
      </c>
      <c r="H155" s="20">
        <v>30.170999999999999</v>
      </c>
      <c r="I155" s="20">
        <v>7.056</v>
      </c>
      <c r="J155" s="23">
        <v>121.026</v>
      </c>
      <c r="K155" s="20">
        <v>131.97399999999999</v>
      </c>
      <c r="L155" s="20">
        <v>22.795999999999999</v>
      </c>
      <c r="M155" s="20">
        <v>0</v>
      </c>
      <c r="N155" s="20">
        <v>4.5190000000000001</v>
      </c>
      <c r="O155" s="20">
        <v>38.387</v>
      </c>
      <c r="P155" s="20">
        <v>12.146000000000001</v>
      </c>
      <c r="Q155" s="20">
        <v>4.157</v>
      </c>
      <c r="R155" s="21">
        <v>16.303000000000001</v>
      </c>
      <c r="S155" s="20">
        <v>8.2970000000000006</v>
      </c>
      <c r="T155" s="20">
        <v>8.7690000000000001</v>
      </c>
      <c r="U155" s="20">
        <v>9.27</v>
      </c>
      <c r="V155" s="20">
        <v>1.2929999999999999</v>
      </c>
      <c r="W155" s="20">
        <v>5.077</v>
      </c>
      <c r="X155" s="20">
        <v>8.0559999999999992</v>
      </c>
      <c r="Y155" s="21">
        <v>13.132999999999999</v>
      </c>
      <c r="Z155" s="20">
        <v>24.998999999999999</v>
      </c>
      <c r="AA155" s="20">
        <v>5.76</v>
      </c>
      <c r="AB155" s="20">
        <v>14.516</v>
      </c>
      <c r="AC155" s="20">
        <v>3.9830000000000001</v>
      </c>
      <c r="AD155" s="20">
        <v>6.843</v>
      </c>
      <c r="AE155" s="20">
        <v>17.594000000000001</v>
      </c>
      <c r="AF155" s="20">
        <v>4.2480000000000002</v>
      </c>
      <c r="AG155" s="20">
        <v>1.4259999999999999</v>
      </c>
      <c r="AH155" s="20">
        <v>0</v>
      </c>
      <c r="AI155" s="20">
        <v>14.227</v>
      </c>
      <c r="AJ155" s="20">
        <v>0.94199999999999995</v>
      </c>
      <c r="AK155" s="20">
        <v>8.5999999999999993E-2</v>
      </c>
      <c r="AL155" s="20">
        <v>1.02</v>
      </c>
      <c r="AM155" s="20">
        <v>0</v>
      </c>
      <c r="AN155" s="20">
        <v>0.32200000000000001</v>
      </c>
      <c r="AO155" s="20">
        <v>0.26900000000000002</v>
      </c>
      <c r="AP155" s="20">
        <v>1.4410000000000001</v>
      </c>
      <c r="AQ155" s="20">
        <v>9.5949999999999989</v>
      </c>
      <c r="AR155" s="22">
        <f t="shared" si="30"/>
        <v>483.03800000000001</v>
      </c>
    </row>
    <row r="156" spans="1:45" s="14" customFormat="1" hidden="1" outlineLevel="1" x14ac:dyDescent="0.3">
      <c r="A156" s="44">
        <v>45809</v>
      </c>
      <c r="B156" s="31">
        <f t="shared" si="29"/>
        <v>47.171999999999997</v>
      </c>
      <c r="C156" s="29">
        <v>21.523</v>
      </c>
      <c r="D156" s="29">
        <v>25.649000000000001</v>
      </c>
      <c r="E156" s="20">
        <v>9.9209999999999994</v>
      </c>
      <c r="F156" s="20">
        <v>4.024</v>
      </c>
      <c r="G156" s="20">
        <v>13.510999999999999</v>
      </c>
      <c r="H156" s="20">
        <v>30.684999999999999</v>
      </c>
      <c r="I156" s="20">
        <v>6.3289999999999997</v>
      </c>
      <c r="J156" s="23">
        <v>111.642</v>
      </c>
      <c r="K156" s="20">
        <v>76.408000000000001</v>
      </c>
      <c r="L156" s="20">
        <v>30.106000000000002</v>
      </c>
      <c r="M156" s="20">
        <v>0</v>
      </c>
      <c r="N156" s="20">
        <v>4.4139999999999997</v>
      </c>
      <c r="O156" s="20">
        <v>34.286000000000001</v>
      </c>
      <c r="P156" s="20">
        <v>12.555</v>
      </c>
      <c r="Q156" s="20">
        <v>3.5009999999999999</v>
      </c>
      <c r="R156" s="21">
        <v>16.056000000000001</v>
      </c>
      <c r="S156" s="20">
        <v>7.056</v>
      </c>
      <c r="T156" s="20">
        <v>10.476000000000001</v>
      </c>
      <c r="U156" s="20">
        <v>11.036</v>
      </c>
      <c r="V156" s="20">
        <v>1.242</v>
      </c>
      <c r="W156" s="20">
        <v>5.3490000000000002</v>
      </c>
      <c r="X156" s="20">
        <v>9.6010000000000009</v>
      </c>
      <c r="Y156" s="21">
        <v>14.95</v>
      </c>
      <c r="Z156" s="20">
        <v>25.757000000000001</v>
      </c>
      <c r="AA156" s="20">
        <v>3.5880000000000001</v>
      </c>
      <c r="AB156" s="20">
        <v>16.274000000000001</v>
      </c>
      <c r="AC156" s="20">
        <v>5.9640000000000004</v>
      </c>
      <c r="AD156" s="20">
        <v>6.17</v>
      </c>
      <c r="AE156" s="20">
        <v>18.396999999999998</v>
      </c>
      <c r="AF156" s="20">
        <v>0.20599999999999999</v>
      </c>
      <c r="AG156" s="20">
        <v>1.361</v>
      </c>
      <c r="AH156" s="20">
        <v>0</v>
      </c>
      <c r="AI156" s="20">
        <v>14.632999999999999</v>
      </c>
      <c r="AJ156" s="20">
        <v>0.75800000000000001</v>
      </c>
      <c r="AK156" s="20">
        <v>9.1999999999999998E-2</v>
      </c>
      <c r="AL156" s="20">
        <v>0.90600000000000003</v>
      </c>
      <c r="AM156" s="20">
        <v>0</v>
      </c>
      <c r="AN156" s="20">
        <v>0.26700000000000002</v>
      </c>
      <c r="AO156" s="20">
        <v>0.28699999999999998</v>
      </c>
      <c r="AP156" s="20">
        <v>1.331</v>
      </c>
      <c r="AQ156" s="20">
        <v>8.3450000000000006</v>
      </c>
      <c r="AR156" s="22">
        <f t="shared" si="30"/>
        <v>422.00799999999998</v>
      </c>
    </row>
    <row r="157" spans="1:45" s="14" customFormat="1" hidden="1" outlineLevel="1" x14ac:dyDescent="0.3">
      <c r="A157" s="44">
        <v>45839</v>
      </c>
      <c r="B157" s="31">
        <f t="shared" si="29"/>
        <v>40.932000000000002</v>
      </c>
      <c r="C157" s="29">
        <v>17.088000000000001</v>
      </c>
      <c r="D157" s="29">
        <v>23.844000000000001</v>
      </c>
      <c r="E157" s="20">
        <v>14.81</v>
      </c>
      <c r="F157" s="20">
        <v>4.34</v>
      </c>
      <c r="G157" s="20">
        <v>13.025</v>
      </c>
      <c r="H157" s="20">
        <v>30.507000000000001</v>
      </c>
      <c r="I157" s="20">
        <v>6.26</v>
      </c>
      <c r="J157" s="23">
        <v>109.874</v>
      </c>
      <c r="K157" s="20">
        <v>114.78</v>
      </c>
      <c r="L157" s="20">
        <v>14.372</v>
      </c>
      <c r="M157" s="20">
        <v>0</v>
      </c>
      <c r="N157" s="20">
        <v>4.78</v>
      </c>
      <c r="O157" s="20">
        <v>34.231999999999999</v>
      </c>
      <c r="P157" s="20">
        <v>12.726000000000001</v>
      </c>
      <c r="Q157" s="20">
        <v>4.07</v>
      </c>
      <c r="R157" s="21">
        <v>16.795999999999999</v>
      </c>
      <c r="S157" s="20">
        <v>6.984</v>
      </c>
      <c r="T157" s="20">
        <v>10.102</v>
      </c>
      <c r="U157" s="20">
        <v>11.837</v>
      </c>
      <c r="V157" s="20">
        <v>1.0229999999999999</v>
      </c>
      <c r="W157" s="20">
        <v>4.8710000000000004</v>
      </c>
      <c r="X157" s="20">
        <v>7.76</v>
      </c>
      <c r="Y157" s="21">
        <v>12.631</v>
      </c>
      <c r="Z157" s="20">
        <v>25.050999999999998</v>
      </c>
      <c r="AA157" s="20">
        <v>4.2770000000000001</v>
      </c>
      <c r="AB157" s="20">
        <v>13.978999999999999</v>
      </c>
      <c r="AC157" s="20">
        <v>5.9169999999999998</v>
      </c>
      <c r="AD157" s="20">
        <v>6.202</v>
      </c>
      <c r="AE157" s="20">
        <v>18.102</v>
      </c>
      <c r="AF157" s="20">
        <v>4.3659999999999997</v>
      </c>
      <c r="AG157" s="20">
        <v>1.357</v>
      </c>
      <c r="AH157" s="20">
        <v>0</v>
      </c>
      <c r="AI157" s="20">
        <v>12.183</v>
      </c>
      <c r="AJ157" s="20">
        <v>1.145</v>
      </c>
      <c r="AK157" s="20">
        <v>0.11799999999999999</v>
      </c>
      <c r="AL157" s="20">
        <v>0.94299999999999995</v>
      </c>
      <c r="AM157" s="20">
        <v>0</v>
      </c>
      <c r="AN157" s="20">
        <v>0.25</v>
      </c>
      <c r="AO157" s="20">
        <v>0.249</v>
      </c>
      <c r="AP157" s="20">
        <v>1.4630000000000001</v>
      </c>
      <c r="AQ157" s="20">
        <v>8.6280000000000001</v>
      </c>
      <c r="AR157" s="22">
        <f t="shared" si="30"/>
        <v>441.64099999999985</v>
      </c>
    </row>
    <row r="158" spans="1:45" s="14" customFormat="1" hidden="1" outlineLevel="1" x14ac:dyDescent="0.3">
      <c r="A158" s="44">
        <v>45870</v>
      </c>
      <c r="B158" s="28">
        <f t="shared" si="29"/>
        <v>38.622</v>
      </c>
      <c r="C158" s="32">
        <v>16.373999999999999</v>
      </c>
      <c r="D158" s="20">
        <v>22.248000000000001</v>
      </c>
      <c r="E158" s="20">
        <v>11.592000000000001</v>
      </c>
      <c r="F158" s="20">
        <v>2.4060000000000001</v>
      </c>
      <c r="G158" s="20">
        <v>14.662000000000001</v>
      </c>
      <c r="H158" s="20">
        <v>11.534000000000001</v>
      </c>
      <c r="I158" s="20">
        <v>6.3179999999999996</v>
      </c>
      <c r="J158" s="21">
        <v>85.134</v>
      </c>
      <c r="K158" s="20">
        <v>105.062</v>
      </c>
      <c r="L158" s="20">
        <v>20.361999999999998</v>
      </c>
      <c r="M158" s="20">
        <v>0</v>
      </c>
      <c r="N158" s="20">
        <v>4.5570000000000004</v>
      </c>
      <c r="O158" s="20">
        <v>35.427</v>
      </c>
      <c r="P158" s="20">
        <v>14.571999999999999</v>
      </c>
      <c r="Q158" s="20">
        <v>3.4790000000000001</v>
      </c>
      <c r="R158" s="21">
        <v>18.050999999999998</v>
      </c>
      <c r="S158" s="20">
        <v>6.3890000000000002</v>
      </c>
      <c r="T158" s="20">
        <v>10.9</v>
      </c>
      <c r="U158" s="20">
        <v>11.686999999999999</v>
      </c>
      <c r="V158" s="20">
        <v>1.228</v>
      </c>
      <c r="W158" s="20">
        <v>4.367</v>
      </c>
      <c r="X158" s="20">
        <v>8.8079999999999998</v>
      </c>
      <c r="Y158" s="21">
        <v>13.175000000000001</v>
      </c>
      <c r="Z158" s="20">
        <v>26.762</v>
      </c>
      <c r="AA158" s="20">
        <v>7.1970000000000001</v>
      </c>
      <c r="AB158" s="20">
        <v>14.817</v>
      </c>
      <c r="AC158" s="20">
        <v>5.0220000000000002</v>
      </c>
      <c r="AD158" s="20">
        <v>5.81</v>
      </c>
      <c r="AE158" s="20">
        <v>15.717000000000001</v>
      </c>
      <c r="AF158" s="20">
        <v>3.9540000000000002</v>
      </c>
      <c r="AG158" s="20">
        <v>1.1000000000000001</v>
      </c>
      <c r="AH158" s="20">
        <v>0</v>
      </c>
      <c r="AI158" s="20">
        <v>14.771000000000001</v>
      </c>
      <c r="AJ158" s="20">
        <v>0.91</v>
      </c>
      <c r="AK158" s="20">
        <v>0.104</v>
      </c>
      <c r="AL158" s="20">
        <v>0.89500000000000002</v>
      </c>
      <c r="AM158" s="20">
        <v>0</v>
      </c>
      <c r="AN158" s="20">
        <v>0.35399999999999998</v>
      </c>
      <c r="AO158" s="20">
        <v>0.25600000000000001</v>
      </c>
      <c r="AP158" s="20">
        <v>1.4430000000000001</v>
      </c>
      <c r="AQ158" s="20">
        <v>8.6869999999999994</v>
      </c>
      <c r="AR158" s="22">
        <f t="shared" si="30"/>
        <v>419.77099999999996</v>
      </c>
    </row>
    <row r="159" spans="1:45" s="14" customFormat="1" hidden="1" outlineLevel="1" x14ac:dyDescent="0.3">
      <c r="A159" s="44">
        <v>45901</v>
      </c>
      <c r="B159" s="28">
        <f t="shared" si="29"/>
        <v>49.698</v>
      </c>
      <c r="C159" s="20">
        <v>20.803000000000001</v>
      </c>
      <c r="D159" s="20">
        <v>28.895</v>
      </c>
      <c r="E159" s="20">
        <v>12.045</v>
      </c>
      <c r="F159" s="20">
        <v>3.581</v>
      </c>
      <c r="G159" s="20">
        <v>15.352</v>
      </c>
      <c r="H159" s="20">
        <v>20.245999999999999</v>
      </c>
      <c r="I159" s="20">
        <v>7.4509999999999996</v>
      </c>
      <c r="J159" s="21">
        <v>108.373</v>
      </c>
      <c r="K159" s="20">
        <v>118.599</v>
      </c>
      <c r="L159" s="20">
        <v>21.062000000000001</v>
      </c>
      <c r="M159" s="20">
        <v>0</v>
      </c>
      <c r="N159" s="20">
        <v>4.6230000000000002</v>
      </c>
      <c r="O159" s="20">
        <v>38.003</v>
      </c>
      <c r="P159" s="20">
        <v>14.481</v>
      </c>
      <c r="Q159" s="20">
        <v>3.427</v>
      </c>
      <c r="R159" s="21">
        <v>17.908000000000001</v>
      </c>
      <c r="S159" s="20">
        <v>6.234</v>
      </c>
      <c r="T159" s="20">
        <v>11.638</v>
      </c>
      <c r="U159" s="20">
        <v>11.746</v>
      </c>
      <c r="V159" s="20">
        <v>0.94099999999999995</v>
      </c>
      <c r="W159" s="20">
        <v>6.1790000000000003</v>
      </c>
      <c r="X159" s="20">
        <v>7.2016081666976151</v>
      </c>
      <c r="Y159" s="21">
        <v>13.380608166697614</v>
      </c>
      <c r="Z159" s="20">
        <v>24.981000000000002</v>
      </c>
      <c r="AA159" s="20">
        <v>7.0590000000000002</v>
      </c>
      <c r="AB159" s="20">
        <v>16.338000000000001</v>
      </c>
      <c r="AC159" s="20">
        <v>5.0549999999999997</v>
      </c>
      <c r="AD159" s="20">
        <v>6.6360000000000001</v>
      </c>
      <c r="AE159" s="20">
        <v>5.7679999999999998</v>
      </c>
      <c r="AF159" s="20">
        <v>4.5949999999999998</v>
      </c>
      <c r="AG159" s="20">
        <v>1.4019999999999999</v>
      </c>
      <c r="AH159" s="20">
        <v>0</v>
      </c>
      <c r="AI159" s="20">
        <v>15.8</v>
      </c>
      <c r="AJ159" s="20">
        <v>1.0529999999999999</v>
      </c>
      <c r="AK159" s="20">
        <v>0.17</v>
      </c>
      <c r="AL159" s="20">
        <v>0.88400000000000001</v>
      </c>
      <c r="AM159" s="20">
        <v>0</v>
      </c>
      <c r="AN159" s="20">
        <v>0.375</v>
      </c>
      <c r="AO159" s="20">
        <v>0.33800000000000002</v>
      </c>
      <c r="AP159" s="20">
        <v>1.5620000000000001</v>
      </c>
      <c r="AQ159" s="20">
        <v>8.7789999999999999</v>
      </c>
      <c r="AR159" s="22">
        <f t="shared" si="30"/>
        <v>453.30260816669767</v>
      </c>
    </row>
    <row r="160" spans="1:45" s="14" customFormat="1" hidden="1" outlineLevel="1" x14ac:dyDescent="0.3">
      <c r="A160" s="44">
        <v>45931</v>
      </c>
      <c r="B160" s="28">
        <f t="shared" si="29"/>
        <v>43.908999999999999</v>
      </c>
      <c r="C160" s="20">
        <v>20.314</v>
      </c>
      <c r="D160" s="20">
        <v>23.594999999999999</v>
      </c>
      <c r="E160" s="20">
        <v>13.223000000000001</v>
      </c>
      <c r="F160" s="20">
        <v>3.3719999999999999</v>
      </c>
      <c r="G160" s="20">
        <v>12.346</v>
      </c>
      <c r="H160" s="20">
        <v>22.707999999999998</v>
      </c>
      <c r="I160" s="20">
        <v>7.258</v>
      </c>
      <c r="J160" s="21">
        <v>102.816</v>
      </c>
      <c r="K160" s="20">
        <v>120.61199999999999</v>
      </c>
      <c r="L160" s="20">
        <v>20.547000000000001</v>
      </c>
      <c r="M160" s="20">
        <v>0</v>
      </c>
      <c r="N160" s="20">
        <v>5.617</v>
      </c>
      <c r="O160" s="20">
        <v>35.015000000000001</v>
      </c>
      <c r="P160" s="20">
        <v>14.25</v>
      </c>
      <c r="Q160" s="20">
        <v>2.7650000000000001</v>
      </c>
      <c r="R160" s="21">
        <v>17.015000000000001</v>
      </c>
      <c r="S160" s="20">
        <v>6.3209999999999997</v>
      </c>
      <c r="T160" s="20">
        <v>10.193</v>
      </c>
      <c r="U160" s="20">
        <v>10.893000000000001</v>
      </c>
      <c r="V160" s="20">
        <v>1.335</v>
      </c>
      <c r="W160" s="20">
        <v>6.0110000000000001</v>
      </c>
      <c r="X160" s="20">
        <v>5.9353928830802092</v>
      </c>
      <c r="Y160" s="21">
        <v>11.946392883080209</v>
      </c>
      <c r="Z160" s="20">
        <v>26.943000000000001</v>
      </c>
      <c r="AA160" s="20">
        <v>6.86</v>
      </c>
      <c r="AB160" s="20">
        <v>17.195</v>
      </c>
      <c r="AC160" s="20">
        <v>4.625</v>
      </c>
      <c r="AD160" s="20">
        <v>7.3360000000000003</v>
      </c>
      <c r="AE160" s="20">
        <v>16.879000000000001</v>
      </c>
      <c r="AF160" s="20">
        <v>5.2770000000000001</v>
      </c>
      <c r="AG160" s="20">
        <v>1.556</v>
      </c>
      <c r="AH160" s="20">
        <v>0</v>
      </c>
      <c r="AI160" s="20">
        <v>12.510999999999999</v>
      </c>
      <c r="AJ160" s="20">
        <v>1.0189999999999999</v>
      </c>
      <c r="AK160" s="20">
        <v>0.25</v>
      </c>
      <c r="AL160" s="20">
        <v>0.84099999999999997</v>
      </c>
      <c r="AM160" s="20">
        <v>0</v>
      </c>
      <c r="AN160" s="20">
        <v>0.38400000000000001</v>
      </c>
      <c r="AO160" s="20">
        <v>0.376</v>
      </c>
      <c r="AP160" s="20">
        <v>1.448</v>
      </c>
      <c r="AQ160" s="20">
        <v>9.9879999999999995</v>
      </c>
      <c r="AR160" s="22">
        <f t="shared" si="30"/>
        <v>455.79839288308023</v>
      </c>
    </row>
    <row r="161" spans="1:45" s="14" customFormat="1" hidden="1" outlineLevel="1" x14ac:dyDescent="0.3">
      <c r="A161" s="44">
        <v>45962</v>
      </c>
      <c r="B161" s="28">
        <f t="shared" si="29"/>
        <v>54.003</v>
      </c>
      <c r="C161" s="20">
        <v>26.808</v>
      </c>
      <c r="D161" s="20">
        <v>27.195</v>
      </c>
      <c r="E161" s="20">
        <v>13.654</v>
      </c>
      <c r="F161" s="20">
        <v>4.7439999999999998</v>
      </c>
      <c r="G161" s="20">
        <v>17.736999999999998</v>
      </c>
      <c r="H161" s="20">
        <v>24.518000000000001</v>
      </c>
      <c r="I161" s="20">
        <v>7.5069999999999997</v>
      </c>
      <c r="J161" s="21">
        <v>122.16299999999998</v>
      </c>
      <c r="K161" s="20">
        <v>94.403000000000006</v>
      </c>
      <c r="L161" s="20">
        <v>17.384</v>
      </c>
      <c r="M161" s="20">
        <v>0</v>
      </c>
      <c r="N161" s="20">
        <v>5.1890000000000001</v>
      </c>
      <c r="O161" s="20">
        <v>37.704000000000001</v>
      </c>
      <c r="P161" s="20">
        <v>14.81</v>
      </c>
      <c r="Q161" s="20">
        <v>3.621</v>
      </c>
      <c r="R161" s="21">
        <v>18.431000000000001</v>
      </c>
      <c r="S161" s="20">
        <v>6.72</v>
      </c>
      <c r="T161" s="20">
        <v>7.8540000000000001</v>
      </c>
      <c r="U161" s="20">
        <v>13.494</v>
      </c>
      <c r="V161" s="20">
        <v>1.1279999999999999</v>
      </c>
      <c r="W161" s="20">
        <v>5.8179999999999996</v>
      </c>
      <c r="X161" s="20">
        <v>7.1366566050342461</v>
      </c>
      <c r="Y161" s="21">
        <v>12.954656605034247</v>
      </c>
      <c r="Z161" s="20">
        <v>24.67</v>
      </c>
      <c r="AA161" s="20">
        <v>7.8280000000000003</v>
      </c>
      <c r="AB161" s="20">
        <v>14.933</v>
      </c>
      <c r="AC161" s="20">
        <v>4.3490000000000002</v>
      </c>
      <c r="AD161" s="20">
        <v>7.5019999999999998</v>
      </c>
      <c r="AE161" s="20">
        <v>17.736000000000001</v>
      </c>
      <c r="AF161" s="20">
        <v>4.4290000000000003</v>
      </c>
      <c r="AG161" s="20">
        <v>1.1870000000000001</v>
      </c>
      <c r="AH161" s="20">
        <v>0</v>
      </c>
      <c r="AI161" s="20">
        <v>14.791</v>
      </c>
      <c r="AJ161" s="20">
        <v>0.89700000000000002</v>
      </c>
      <c r="AK161" s="20">
        <v>0.307</v>
      </c>
      <c r="AL161" s="20">
        <v>0.9</v>
      </c>
      <c r="AM161" s="20">
        <v>0</v>
      </c>
      <c r="AN161" s="20">
        <v>0.36499999999999999</v>
      </c>
      <c r="AO161" s="20">
        <v>0.4</v>
      </c>
      <c r="AP161" s="20">
        <v>1.536</v>
      </c>
      <c r="AQ161" s="20">
        <v>9.4949999999999992</v>
      </c>
      <c r="AR161" s="22">
        <f t="shared" si="30"/>
        <v>448.74965660503415</v>
      </c>
    </row>
    <row r="162" spans="1:45" s="14" customFormat="1" hidden="1" outlineLevel="1" x14ac:dyDescent="0.3">
      <c r="A162" s="44">
        <v>45992</v>
      </c>
      <c r="B162" s="28">
        <f t="shared" si="29"/>
        <v>79.319999999999993</v>
      </c>
      <c r="C162" s="20">
        <v>49.033000000000001</v>
      </c>
      <c r="D162" s="20">
        <v>30.286999999999999</v>
      </c>
      <c r="E162" s="20">
        <v>20.748999999999999</v>
      </c>
      <c r="F162" s="20">
        <v>11.497999999999999</v>
      </c>
      <c r="G162" s="20">
        <v>24.068999999999999</v>
      </c>
      <c r="H162" s="20">
        <v>28.587</v>
      </c>
      <c r="I162" s="20">
        <v>8.0489999999999995</v>
      </c>
      <c r="J162" s="21">
        <v>172.27199999999999</v>
      </c>
      <c r="K162" s="20">
        <v>111.535</v>
      </c>
      <c r="L162" s="20">
        <v>19.744</v>
      </c>
      <c r="M162" s="20">
        <v>0</v>
      </c>
      <c r="N162" s="20">
        <v>5.8090000000000002</v>
      </c>
      <c r="O162" s="20">
        <v>36.158999999999999</v>
      </c>
      <c r="P162" s="20">
        <v>13.436</v>
      </c>
      <c r="Q162" s="20">
        <v>3.3119999999999998</v>
      </c>
      <c r="R162" s="21">
        <v>16.748000000000001</v>
      </c>
      <c r="S162" s="20">
        <v>7.62</v>
      </c>
      <c r="T162" s="20">
        <v>11.228</v>
      </c>
      <c r="U162" s="20">
        <v>15.225</v>
      </c>
      <c r="V162" s="20">
        <v>1.335</v>
      </c>
      <c r="W162" s="20">
        <v>5.0330000000000004</v>
      </c>
      <c r="X162" s="20">
        <v>10.747262013042231</v>
      </c>
      <c r="Y162" s="21">
        <v>15.780262013042231</v>
      </c>
      <c r="Z162" s="20">
        <v>28.777000000000001</v>
      </c>
      <c r="AA162" s="20">
        <v>9.391</v>
      </c>
      <c r="AB162" s="20">
        <v>16.713000000000001</v>
      </c>
      <c r="AC162" s="20">
        <v>5.3079999999999998</v>
      </c>
      <c r="AD162" s="20">
        <v>8.2110000000000003</v>
      </c>
      <c r="AE162" s="20">
        <v>20.859000000000002</v>
      </c>
      <c r="AF162" s="20">
        <v>5.4870000000000001</v>
      </c>
      <c r="AG162" s="20">
        <v>1.456</v>
      </c>
      <c r="AH162" s="20">
        <v>0</v>
      </c>
      <c r="AI162" s="20">
        <v>14.86</v>
      </c>
      <c r="AJ162" s="20">
        <v>1.0669999999999999</v>
      </c>
      <c r="AK162" s="20">
        <v>0.27800000000000002</v>
      </c>
      <c r="AL162" s="20">
        <v>0.83199999999999996</v>
      </c>
      <c r="AM162" s="20">
        <v>0</v>
      </c>
      <c r="AN162" s="20">
        <v>0.40300000000000002</v>
      </c>
      <c r="AO162" s="20">
        <v>0.36199999999999999</v>
      </c>
      <c r="AP162" s="20">
        <v>1.526</v>
      </c>
      <c r="AQ162" s="20">
        <v>10.176</v>
      </c>
      <c r="AR162" s="22">
        <f t="shared" si="30"/>
        <v>539.16126201304235</v>
      </c>
    </row>
    <row r="163" spans="1:45" s="14" customFormat="1" collapsed="1" x14ac:dyDescent="0.3">
      <c r="A163" s="45">
        <v>2025</v>
      </c>
      <c r="B163" s="24">
        <f>SUM(B151:B162)</f>
        <v>561.05399999999997</v>
      </c>
      <c r="C163" s="24">
        <f>SUM(C151:C162)</f>
        <v>265.75599999999997</v>
      </c>
      <c r="D163" s="24">
        <f t="shared" ref="D163:AR163" si="31">SUM(D151:D162)</f>
        <v>295.298</v>
      </c>
      <c r="E163" s="24">
        <f t="shared" si="31"/>
        <v>152.88800000000001</v>
      </c>
      <c r="F163" s="24">
        <f t="shared" si="31"/>
        <v>47.016999999999996</v>
      </c>
      <c r="G163" s="24">
        <f t="shared" si="31"/>
        <v>181.62</v>
      </c>
      <c r="H163" s="24">
        <f t="shared" si="31"/>
        <v>310.14599999999996</v>
      </c>
      <c r="I163" s="24">
        <f t="shared" si="31"/>
        <v>81.663999999999987</v>
      </c>
      <c r="J163" s="25">
        <f t="shared" si="31"/>
        <v>1334.3890000000001</v>
      </c>
      <c r="K163" s="24">
        <f t="shared" si="31"/>
        <v>1345.1320000000001</v>
      </c>
      <c r="L163" s="24">
        <f>SUM(L151:L162)</f>
        <v>254.79499999999999</v>
      </c>
      <c r="M163" s="24">
        <f>SUM(M151:M162)</f>
        <v>0</v>
      </c>
      <c r="N163" s="24">
        <f>SUM(N151:N162)</f>
        <v>60.577999999999996</v>
      </c>
      <c r="O163" s="24">
        <f t="shared" si="31"/>
        <v>406.01599999999996</v>
      </c>
      <c r="P163" s="24">
        <f t="shared" si="31"/>
        <v>164.60300000000001</v>
      </c>
      <c r="Q163" s="24">
        <f t="shared" si="31"/>
        <v>42.604000000000006</v>
      </c>
      <c r="R163" s="26">
        <f t="shared" si="31"/>
        <v>207.20699999999997</v>
      </c>
      <c r="S163" s="24">
        <f t="shared" si="31"/>
        <v>91.375999999999991</v>
      </c>
      <c r="T163" s="24">
        <f t="shared" si="31"/>
        <v>125.182</v>
      </c>
      <c r="U163" s="24">
        <f>SUM(U151:U162)</f>
        <v>132.88200000000001</v>
      </c>
      <c r="V163" s="24">
        <f>SUM(V151:V162)</f>
        <v>15.201000000000001</v>
      </c>
      <c r="W163" s="24">
        <f t="shared" si="31"/>
        <v>61.918999999999997</v>
      </c>
      <c r="X163" s="24">
        <f t="shared" si="31"/>
        <v>95.114919667854295</v>
      </c>
      <c r="Y163" s="26">
        <f t="shared" si="31"/>
        <v>157.03391966785429</v>
      </c>
      <c r="Z163" s="24">
        <f>SUM(Z151:Z162)</f>
        <v>305.87299999999999</v>
      </c>
      <c r="AA163" s="24">
        <f t="shared" si="31"/>
        <v>75.362000000000009</v>
      </c>
      <c r="AB163" s="24">
        <f>SUM(AB151:AB162)</f>
        <v>174.32299999999998</v>
      </c>
      <c r="AC163" s="24">
        <f t="shared" si="31"/>
        <v>66.123999999999995</v>
      </c>
      <c r="AD163" s="24">
        <f>SUM(AD151:AD162)</f>
        <v>81.159000000000006</v>
      </c>
      <c r="AE163" s="24">
        <f t="shared" si="31"/>
        <v>190.02700000000002</v>
      </c>
      <c r="AF163" s="24">
        <f>SUM(AF151:AF162)</f>
        <v>50.481000000000009</v>
      </c>
      <c r="AG163" s="24">
        <f t="shared" si="31"/>
        <v>16.878999999999998</v>
      </c>
      <c r="AH163" s="24">
        <f>SUM(AH151:AH162)</f>
        <v>0</v>
      </c>
      <c r="AI163" s="24">
        <f t="shared" si="31"/>
        <v>165.31299999999999</v>
      </c>
      <c r="AJ163" s="24">
        <f t="shared" si="31"/>
        <v>11.623000000000001</v>
      </c>
      <c r="AK163" s="24">
        <f t="shared" si="31"/>
        <v>1.8109999999999999</v>
      </c>
      <c r="AL163" s="24">
        <f t="shared" si="31"/>
        <v>10.894</v>
      </c>
      <c r="AM163" s="24">
        <f t="shared" si="31"/>
        <v>0</v>
      </c>
      <c r="AN163" s="24">
        <f t="shared" si="31"/>
        <v>4.072000000000001</v>
      </c>
      <c r="AO163" s="24">
        <f t="shared" si="31"/>
        <v>3.6429999999999998</v>
      </c>
      <c r="AP163" s="24">
        <f t="shared" si="31"/>
        <v>17.87</v>
      </c>
      <c r="AQ163" s="24">
        <v>110.02499999999999</v>
      </c>
      <c r="AR163" s="27">
        <f t="shared" si="31"/>
        <v>5415.2709196678534</v>
      </c>
    </row>
    <row r="164" spans="1:45" s="14" customFormat="1" outlineLevel="1" x14ac:dyDescent="0.3">
      <c r="A164" s="44">
        <v>46023</v>
      </c>
      <c r="B164" s="61">
        <f t="shared" ref="B164:B175" si="32">C164+D164</f>
        <v>38.64</v>
      </c>
      <c r="C164" s="29">
        <v>13.577</v>
      </c>
      <c r="D164" s="29">
        <v>25.062999999999999</v>
      </c>
      <c r="E164" s="20">
        <v>8.9830000000000005</v>
      </c>
      <c r="F164" s="20">
        <v>4.0019999999999998</v>
      </c>
      <c r="G164" s="20">
        <v>15.782</v>
      </c>
      <c r="H164" s="20">
        <v>18.148</v>
      </c>
      <c r="I164" s="20">
        <v>5.4779999999999998</v>
      </c>
      <c r="J164" s="23">
        <v>91.033000000000001</v>
      </c>
      <c r="K164" s="20">
        <v>104.98399999999999</v>
      </c>
      <c r="L164" s="20">
        <v>16.401</v>
      </c>
      <c r="M164" s="20">
        <v>0</v>
      </c>
      <c r="N164" s="20">
        <v>4.8760000000000003</v>
      </c>
      <c r="O164" s="20">
        <v>30.19</v>
      </c>
      <c r="P164" s="20">
        <v>15.759</v>
      </c>
      <c r="Q164" s="20">
        <v>3.1469999999999998</v>
      </c>
      <c r="R164" s="21">
        <v>18.905999999999999</v>
      </c>
      <c r="S164" s="20">
        <v>7.4649999999999999</v>
      </c>
      <c r="T164" s="20">
        <v>10.398</v>
      </c>
      <c r="U164" s="20">
        <v>13.375</v>
      </c>
      <c r="V164" s="20">
        <v>0.72699999999999998</v>
      </c>
      <c r="W164" s="20">
        <v>4.5869999999999997</v>
      </c>
      <c r="X164" s="20">
        <v>4.6689999999999996</v>
      </c>
      <c r="Y164" s="21">
        <v>9.2560000000000002</v>
      </c>
      <c r="Z164" s="20">
        <v>18.959</v>
      </c>
      <c r="AA164" s="20">
        <v>7.4580000000000002</v>
      </c>
      <c r="AB164" s="20">
        <v>14.005000000000001</v>
      </c>
      <c r="AC164" s="20">
        <v>4.6970000000000001</v>
      </c>
      <c r="AD164" s="20">
        <v>7.1130000000000004</v>
      </c>
      <c r="AE164" s="20">
        <v>17.469000000000001</v>
      </c>
      <c r="AF164" s="20">
        <v>4.95</v>
      </c>
      <c r="AG164" s="20">
        <v>0.97899999999999998</v>
      </c>
      <c r="AH164" s="20">
        <v>0</v>
      </c>
      <c r="AI164" s="20">
        <v>12.954000000000001</v>
      </c>
      <c r="AJ164" s="20">
        <v>0.81899999999999995</v>
      </c>
      <c r="AK164" s="20">
        <v>0.27200000000000002</v>
      </c>
      <c r="AL164" s="20">
        <v>0.91500000000000004</v>
      </c>
      <c r="AM164" s="20">
        <v>0</v>
      </c>
      <c r="AN164" s="20">
        <v>0.36199999999999999</v>
      </c>
      <c r="AO164" s="20">
        <v>0.34699999999999998</v>
      </c>
      <c r="AP164" s="20">
        <v>1.3680000000000001</v>
      </c>
      <c r="AQ164" s="20">
        <v>9.6769999999999996</v>
      </c>
      <c r="AR164" s="22">
        <f t="shared" ref="AR164:AR175" si="33">SUM(E164:I164,B164,K164:Q164,S164:X164,Z164:AQ164)</f>
        <v>409.95499999999998</v>
      </c>
      <c r="AS164" s="47"/>
    </row>
    <row r="165" spans="1:45" s="14" customFormat="1" outlineLevel="1" x14ac:dyDescent="0.3">
      <c r="A165" s="44">
        <v>46054</v>
      </c>
      <c r="B165" s="61">
        <f t="shared" si="32"/>
        <v>32.966999999999999</v>
      </c>
      <c r="C165" s="29">
        <v>13.958</v>
      </c>
      <c r="D165" s="29">
        <v>19.009</v>
      </c>
      <c r="E165" s="20">
        <v>9.048</v>
      </c>
      <c r="F165" s="20">
        <v>3.6930000000000001</v>
      </c>
      <c r="G165" s="20">
        <v>8.9320000000000004</v>
      </c>
      <c r="H165" s="20">
        <v>21.553000000000001</v>
      </c>
      <c r="I165" s="20">
        <v>3.657</v>
      </c>
      <c r="J165" s="23">
        <v>79.849999999999994</v>
      </c>
      <c r="K165" s="20">
        <v>105.02</v>
      </c>
      <c r="L165" s="20">
        <v>11.996</v>
      </c>
      <c r="M165" s="20">
        <v>0</v>
      </c>
      <c r="N165" s="20">
        <v>4.3220000000000001</v>
      </c>
      <c r="O165" s="20">
        <v>26.649000000000001</v>
      </c>
      <c r="P165" s="20">
        <v>15.22</v>
      </c>
      <c r="Q165" s="20">
        <v>3.1459999999999999</v>
      </c>
      <c r="R165" s="21">
        <v>18.366</v>
      </c>
      <c r="S165" s="20">
        <v>6.7809999999999997</v>
      </c>
      <c r="T165" s="20">
        <v>9.5180000000000007</v>
      </c>
      <c r="U165" s="20">
        <v>11.647</v>
      </c>
      <c r="V165" s="20">
        <v>0.69199999999999995</v>
      </c>
      <c r="W165" s="20">
        <v>3.871</v>
      </c>
      <c r="X165" s="20">
        <v>6.4580000000000002</v>
      </c>
      <c r="Y165" s="21">
        <v>10.329000000000001</v>
      </c>
      <c r="Z165" s="20">
        <v>22.927</v>
      </c>
      <c r="AA165" s="20">
        <v>3.996</v>
      </c>
      <c r="AB165" s="20">
        <v>7.3719999999999999</v>
      </c>
      <c r="AC165" s="20">
        <v>4.0149999999999997</v>
      </c>
      <c r="AD165" s="20">
        <v>5.7069999999999999</v>
      </c>
      <c r="AE165" s="20">
        <v>16.786999999999999</v>
      </c>
      <c r="AF165" s="20">
        <v>4.3</v>
      </c>
      <c r="AG165" s="20">
        <v>1.0389999999999999</v>
      </c>
      <c r="AH165" s="20">
        <v>0</v>
      </c>
      <c r="AI165" s="20">
        <v>11.521000000000001</v>
      </c>
      <c r="AJ165" s="20">
        <v>0.79600000000000004</v>
      </c>
      <c r="AK165" s="20">
        <v>0.20899999999999999</v>
      </c>
      <c r="AL165" s="20">
        <v>0.73599999999999999</v>
      </c>
      <c r="AM165" s="20">
        <v>0</v>
      </c>
      <c r="AN165" s="20">
        <v>0.26100000000000001</v>
      </c>
      <c r="AO165" s="20">
        <v>0.34799999999999998</v>
      </c>
      <c r="AP165" s="20">
        <v>1.353</v>
      </c>
      <c r="AQ165" s="20">
        <v>8.8550000000000004</v>
      </c>
      <c r="AR165" s="22">
        <f t="shared" si="33"/>
        <v>375.39200000000005</v>
      </c>
      <c r="AS165" s="47"/>
    </row>
    <row r="166" spans="1:45" s="14" customFormat="1" outlineLevel="1" x14ac:dyDescent="0.3">
      <c r="A166" s="44">
        <v>46082</v>
      </c>
      <c r="B166" s="61">
        <f t="shared" si="32"/>
        <v>43.591999999999999</v>
      </c>
      <c r="C166" s="29">
        <v>16.062000000000001</v>
      </c>
      <c r="D166" s="29">
        <v>27.53</v>
      </c>
      <c r="E166" s="20">
        <v>8.8119999999999994</v>
      </c>
      <c r="F166" s="20">
        <v>4.0339999999999998</v>
      </c>
      <c r="G166" s="20">
        <v>17.846</v>
      </c>
      <c r="H166" s="20">
        <v>19.396999999999998</v>
      </c>
      <c r="I166" s="20">
        <v>7.077</v>
      </c>
      <c r="J166" s="23">
        <v>100.758</v>
      </c>
      <c r="K166" s="20">
        <v>101.627</v>
      </c>
      <c r="L166" s="20">
        <v>16.199000000000002</v>
      </c>
      <c r="M166" s="20">
        <v>0</v>
      </c>
      <c r="N166" s="20">
        <v>4.7</v>
      </c>
      <c r="O166" s="20">
        <v>31.425999999999998</v>
      </c>
      <c r="P166" s="20">
        <v>17.548999999999999</v>
      </c>
      <c r="Q166" s="20">
        <v>3.3439999999999999</v>
      </c>
      <c r="R166" s="21">
        <v>20.893000000000001</v>
      </c>
      <c r="S166" s="20">
        <v>7.8090000000000002</v>
      </c>
      <c r="T166" s="20">
        <v>7.7160000000000002</v>
      </c>
      <c r="U166" s="20">
        <v>13.529</v>
      </c>
      <c r="V166" s="20">
        <v>0.68</v>
      </c>
      <c r="W166" s="20">
        <v>3.843</v>
      </c>
      <c r="X166" s="20">
        <v>7.8920000000000003</v>
      </c>
      <c r="Y166" s="21">
        <v>11.734999999999999</v>
      </c>
      <c r="Z166" s="20">
        <v>27.683</v>
      </c>
      <c r="AA166" s="20">
        <v>5.7519999999999998</v>
      </c>
      <c r="AB166" s="20">
        <v>14.371</v>
      </c>
      <c r="AC166" s="20">
        <v>4.2759999999999998</v>
      </c>
      <c r="AD166" s="20">
        <v>6.8029999999999999</v>
      </c>
      <c r="AE166" s="20">
        <v>21.216000000000001</v>
      </c>
      <c r="AF166" s="20">
        <v>4.6120000000000001</v>
      </c>
      <c r="AG166" s="20">
        <v>1.1499999999999999</v>
      </c>
      <c r="AH166" s="20">
        <v>0</v>
      </c>
      <c r="AI166" s="20">
        <v>14.917999999999999</v>
      </c>
      <c r="AJ166" s="20">
        <v>0.55000000000000004</v>
      </c>
      <c r="AK166" s="20">
        <v>0.17899999999999999</v>
      </c>
      <c r="AL166" s="20">
        <v>0.72199999999999998</v>
      </c>
      <c r="AM166" s="20">
        <v>0</v>
      </c>
      <c r="AN166" s="20">
        <v>0.40500000000000003</v>
      </c>
      <c r="AO166" s="20">
        <v>0.32300000000000001</v>
      </c>
      <c r="AP166" s="20">
        <v>1.4490000000000001</v>
      </c>
      <c r="AQ166" s="20">
        <v>9.6989999999999998</v>
      </c>
      <c r="AR166" s="22">
        <f t="shared" si="33"/>
        <v>431.17999999999995</v>
      </c>
      <c r="AS166" s="47"/>
    </row>
    <row r="167" spans="1:45" s="14" customFormat="1" outlineLevel="1" x14ac:dyDescent="0.3">
      <c r="A167" s="44">
        <v>46113</v>
      </c>
      <c r="B167" s="61">
        <f t="shared" si="32"/>
        <v>0</v>
      </c>
      <c r="C167" s="29"/>
      <c r="D167" s="29"/>
      <c r="E167" s="20"/>
      <c r="F167" s="20"/>
      <c r="G167" s="20"/>
      <c r="H167" s="20"/>
      <c r="I167" s="20"/>
      <c r="J167" s="23"/>
      <c r="K167" s="20"/>
      <c r="L167" s="20"/>
      <c r="M167" s="20"/>
      <c r="N167" s="20"/>
      <c r="O167" s="20"/>
      <c r="P167" s="20"/>
      <c r="Q167" s="20"/>
      <c r="R167" s="21"/>
      <c r="S167" s="20"/>
      <c r="T167" s="20"/>
      <c r="U167" s="20"/>
      <c r="V167" s="20"/>
      <c r="W167" s="20"/>
      <c r="X167" s="20"/>
      <c r="Y167" s="21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2">
        <f t="shared" si="33"/>
        <v>0</v>
      </c>
    </row>
    <row r="168" spans="1:45" s="14" customFormat="1" outlineLevel="1" x14ac:dyDescent="0.3">
      <c r="A168" s="44">
        <v>46143</v>
      </c>
      <c r="B168" s="61">
        <f t="shared" si="32"/>
        <v>0</v>
      </c>
      <c r="C168" s="29"/>
      <c r="D168" s="29"/>
      <c r="E168" s="20"/>
      <c r="F168" s="20"/>
      <c r="G168" s="20"/>
      <c r="H168" s="20"/>
      <c r="I168" s="20"/>
      <c r="J168" s="23"/>
      <c r="K168" s="20"/>
      <c r="L168" s="20"/>
      <c r="M168" s="20"/>
      <c r="N168" s="20"/>
      <c r="O168" s="20"/>
      <c r="P168" s="20"/>
      <c r="Q168" s="20"/>
      <c r="R168" s="21"/>
      <c r="S168" s="20"/>
      <c r="T168" s="20"/>
      <c r="U168" s="20"/>
      <c r="V168" s="20"/>
      <c r="W168" s="20"/>
      <c r="X168" s="20"/>
      <c r="Y168" s="21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2">
        <f t="shared" si="33"/>
        <v>0</v>
      </c>
    </row>
    <row r="169" spans="1:45" s="14" customFormat="1" outlineLevel="1" x14ac:dyDescent="0.3">
      <c r="A169" s="44">
        <v>46174</v>
      </c>
      <c r="B169" s="61">
        <f t="shared" si="32"/>
        <v>0</v>
      </c>
      <c r="C169" s="29"/>
      <c r="D169" s="29"/>
      <c r="E169" s="20"/>
      <c r="F169" s="20"/>
      <c r="G169" s="20"/>
      <c r="H169" s="20"/>
      <c r="I169" s="20"/>
      <c r="J169" s="23"/>
      <c r="K169" s="20"/>
      <c r="L169" s="20"/>
      <c r="M169" s="20"/>
      <c r="N169" s="20"/>
      <c r="O169" s="20"/>
      <c r="P169" s="20"/>
      <c r="Q169" s="20"/>
      <c r="R169" s="21"/>
      <c r="S169" s="20"/>
      <c r="T169" s="20"/>
      <c r="U169" s="20"/>
      <c r="V169" s="20"/>
      <c r="W169" s="20"/>
      <c r="X169" s="20"/>
      <c r="Y169" s="21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2">
        <f t="shared" si="33"/>
        <v>0</v>
      </c>
    </row>
    <row r="170" spans="1:45" s="14" customFormat="1" outlineLevel="1" x14ac:dyDescent="0.3">
      <c r="A170" s="44">
        <v>46204</v>
      </c>
      <c r="B170" s="61">
        <f t="shared" si="32"/>
        <v>0</v>
      </c>
      <c r="C170" s="29"/>
      <c r="D170" s="29"/>
      <c r="E170" s="20"/>
      <c r="F170" s="20"/>
      <c r="G170" s="20"/>
      <c r="H170" s="20"/>
      <c r="I170" s="20"/>
      <c r="J170" s="23"/>
      <c r="K170" s="20"/>
      <c r="L170" s="20"/>
      <c r="M170" s="20"/>
      <c r="N170" s="20"/>
      <c r="O170" s="20"/>
      <c r="P170" s="20"/>
      <c r="Q170" s="20"/>
      <c r="R170" s="21"/>
      <c r="S170" s="20"/>
      <c r="T170" s="20"/>
      <c r="U170" s="20"/>
      <c r="V170" s="20"/>
      <c r="W170" s="20"/>
      <c r="X170" s="20"/>
      <c r="Y170" s="21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2">
        <f t="shared" si="33"/>
        <v>0</v>
      </c>
    </row>
    <row r="171" spans="1:45" s="14" customFormat="1" outlineLevel="1" x14ac:dyDescent="0.3">
      <c r="A171" s="44">
        <v>46235</v>
      </c>
      <c r="B171" s="62">
        <f t="shared" si="32"/>
        <v>0</v>
      </c>
      <c r="C171" s="32"/>
      <c r="D171" s="20"/>
      <c r="E171" s="20"/>
      <c r="F171" s="20"/>
      <c r="G171" s="20"/>
      <c r="H171" s="20"/>
      <c r="I171" s="20"/>
      <c r="J171" s="21"/>
      <c r="K171" s="20"/>
      <c r="L171" s="20"/>
      <c r="M171" s="20"/>
      <c r="N171" s="20"/>
      <c r="O171" s="20"/>
      <c r="P171" s="20"/>
      <c r="Q171" s="20"/>
      <c r="R171" s="21"/>
      <c r="S171" s="20"/>
      <c r="T171" s="20"/>
      <c r="U171" s="20"/>
      <c r="V171" s="20"/>
      <c r="W171" s="20"/>
      <c r="X171" s="20"/>
      <c r="Y171" s="21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2">
        <f t="shared" si="33"/>
        <v>0</v>
      </c>
    </row>
    <row r="172" spans="1:45" s="14" customFormat="1" outlineLevel="1" x14ac:dyDescent="0.3">
      <c r="A172" s="44">
        <v>46266</v>
      </c>
      <c r="B172" s="62">
        <f t="shared" si="32"/>
        <v>0</v>
      </c>
      <c r="C172" s="20"/>
      <c r="D172" s="20"/>
      <c r="E172" s="20"/>
      <c r="F172" s="20"/>
      <c r="G172" s="20"/>
      <c r="H172" s="20"/>
      <c r="I172" s="20"/>
      <c r="J172" s="21"/>
      <c r="K172" s="20"/>
      <c r="L172" s="20"/>
      <c r="M172" s="20"/>
      <c r="N172" s="20"/>
      <c r="O172" s="20"/>
      <c r="P172" s="20"/>
      <c r="Q172" s="20"/>
      <c r="R172" s="21"/>
      <c r="S172" s="20"/>
      <c r="T172" s="20"/>
      <c r="U172" s="20"/>
      <c r="V172" s="20"/>
      <c r="W172" s="20"/>
      <c r="X172" s="20"/>
      <c r="Y172" s="21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2">
        <f t="shared" si="33"/>
        <v>0</v>
      </c>
    </row>
    <row r="173" spans="1:45" s="14" customFormat="1" outlineLevel="1" x14ac:dyDescent="0.3">
      <c r="A173" s="44">
        <v>46296</v>
      </c>
      <c r="B173" s="62">
        <f t="shared" si="32"/>
        <v>0</v>
      </c>
      <c r="C173" s="20"/>
      <c r="D173" s="20"/>
      <c r="E173" s="20"/>
      <c r="F173" s="20"/>
      <c r="G173" s="20"/>
      <c r="H173" s="20"/>
      <c r="I173" s="20"/>
      <c r="J173" s="21"/>
      <c r="K173" s="20"/>
      <c r="L173" s="20"/>
      <c r="M173" s="20"/>
      <c r="N173" s="20"/>
      <c r="O173" s="20"/>
      <c r="P173" s="20"/>
      <c r="Q173" s="20"/>
      <c r="R173" s="21"/>
      <c r="S173" s="20"/>
      <c r="T173" s="20"/>
      <c r="U173" s="20"/>
      <c r="V173" s="20"/>
      <c r="W173" s="20"/>
      <c r="X173" s="20"/>
      <c r="Y173" s="21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2">
        <f t="shared" si="33"/>
        <v>0</v>
      </c>
    </row>
    <row r="174" spans="1:45" s="14" customFormat="1" outlineLevel="1" x14ac:dyDescent="0.3">
      <c r="A174" s="44">
        <v>46327</v>
      </c>
      <c r="B174" s="62">
        <f t="shared" si="32"/>
        <v>0</v>
      </c>
      <c r="C174" s="20"/>
      <c r="D174" s="20"/>
      <c r="E174" s="20"/>
      <c r="F174" s="20"/>
      <c r="G174" s="20"/>
      <c r="H174" s="20"/>
      <c r="I174" s="20"/>
      <c r="J174" s="21"/>
      <c r="K174" s="20"/>
      <c r="L174" s="20"/>
      <c r="M174" s="20"/>
      <c r="N174" s="20"/>
      <c r="O174" s="20"/>
      <c r="P174" s="20"/>
      <c r="Q174" s="20"/>
      <c r="R174" s="21"/>
      <c r="S174" s="20"/>
      <c r="T174" s="20"/>
      <c r="U174" s="20"/>
      <c r="V174" s="20"/>
      <c r="W174" s="20"/>
      <c r="X174" s="20"/>
      <c r="Y174" s="21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2">
        <f t="shared" si="33"/>
        <v>0</v>
      </c>
    </row>
    <row r="175" spans="1:45" s="14" customFormat="1" outlineLevel="1" x14ac:dyDescent="0.3">
      <c r="A175" s="44">
        <v>46357</v>
      </c>
      <c r="B175" s="62">
        <f t="shared" si="32"/>
        <v>0</v>
      </c>
      <c r="C175" s="20"/>
      <c r="D175" s="20"/>
      <c r="E175" s="20"/>
      <c r="F175" s="20"/>
      <c r="G175" s="20"/>
      <c r="H175" s="20"/>
      <c r="I175" s="20"/>
      <c r="J175" s="21"/>
      <c r="K175" s="20"/>
      <c r="L175" s="20"/>
      <c r="M175" s="20"/>
      <c r="N175" s="20"/>
      <c r="O175" s="20"/>
      <c r="P175" s="20"/>
      <c r="Q175" s="20"/>
      <c r="R175" s="21"/>
      <c r="S175" s="20"/>
      <c r="T175" s="20"/>
      <c r="U175" s="20"/>
      <c r="V175" s="20"/>
      <c r="W175" s="20"/>
      <c r="X175" s="20"/>
      <c r="Y175" s="21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2">
        <f t="shared" si="33"/>
        <v>0</v>
      </c>
    </row>
    <row r="176" spans="1:45" s="14" customFormat="1" x14ac:dyDescent="0.3">
      <c r="A176" s="45">
        <v>2026</v>
      </c>
      <c r="B176" s="63">
        <f>SUM(B164:B175)</f>
        <v>115.199</v>
      </c>
      <c r="C176" s="24">
        <f>SUM(C164:C175)</f>
        <v>43.597000000000001</v>
      </c>
      <c r="D176" s="24">
        <f t="shared" ref="D176:AQ176" si="34">SUM(D164:D175)</f>
        <v>71.602000000000004</v>
      </c>
      <c r="E176" s="24">
        <f t="shared" si="34"/>
        <v>26.842999999999996</v>
      </c>
      <c r="F176" s="24">
        <f t="shared" si="34"/>
        <v>11.728999999999999</v>
      </c>
      <c r="G176" s="24">
        <f t="shared" si="34"/>
        <v>42.56</v>
      </c>
      <c r="H176" s="24">
        <f t="shared" si="34"/>
        <v>59.097999999999999</v>
      </c>
      <c r="I176" s="24">
        <f t="shared" si="34"/>
        <v>16.212</v>
      </c>
      <c r="J176" s="25">
        <f t="shared" si="34"/>
        <v>271.64099999999996</v>
      </c>
      <c r="K176" s="24">
        <f t="shared" si="34"/>
        <v>311.63099999999997</v>
      </c>
      <c r="L176" s="24">
        <f>SUM(L164:L175)</f>
        <v>44.596000000000004</v>
      </c>
      <c r="M176" s="24">
        <f>SUM(M164:M175)</f>
        <v>0</v>
      </c>
      <c r="N176" s="24">
        <f>SUM(N164:N175)</f>
        <v>13.898</v>
      </c>
      <c r="O176" s="24">
        <f t="shared" si="34"/>
        <v>88.265000000000001</v>
      </c>
      <c r="P176" s="24">
        <f t="shared" si="34"/>
        <v>48.527999999999999</v>
      </c>
      <c r="Q176" s="24">
        <f t="shared" si="34"/>
        <v>9.6369999999999987</v>
      </c>
      <c r="R176" s="26">
        <f t="shared" si="34"/>
        <v>58.164999999999999</v>
      </c>
      <c r="S176" s="24">
        <f t="shared" si="34"/>
        <v>22.055</v>
      </c>
      <c r="T176" s="24">
        <f t="shared" si="34"/>
        <v>27.632000000000001</v>
      </c>
      <c r="U176" s="24">
        <f>SUM(U164:U175)</f>
        <v>38.551000000000002</v>
      </c>
      <c r="V176" s="24">
        <f>SUM(V164:V175)</f>
        <v>2.0990000000000002</v>
      </c>
      <c r="W176" s="24">
        <f t="shared" si="34"/>
        <v>12.301</v>
      </c>
      <c r="X176" s="24">
        <f t="shared" si="34"/>
        <v>19.018999999999998</v>
      </c>
      <c r="Y176" s="26">
        <f t="shared" si="34"/>
        <v>31.32</v>
      </c>
      <c r="Z176" s="24">
        <f>SUM(Z164:Z175)</f>
        <v>69.568999999999988</v>
      </c>
      <c r="AA176" s="24">
        <f t="shared" si="34"/>
        <v>17.206</v>
      </c>
      <c r="AB176" s="24">
        <f>SUM(AB164:AB175)</f>
        <v>35.748000000000005</v>
      </c>
      <c r="AC176" s="24">
        <f t="shared" si="34"/>
        <v>12.988</v>
      </c>
      <c r="AD176" s="24">
        <f>SUM(AD164:AD175)</f>
        <v>19.623000000000001</v>
      </c>
      <c r="AE176" s="24">
        <f t="shared" si="34"/>
        <v>55.472000000000001</v>
      </c>
      <c r="AF176" s="24">
        <f>SUM(AF164:AF175)</f>
        <v>13.862</v>
      </c>
      <c r="AG176" s="24">
        <f t="shared" si="34"/>
        <v>3.1679999999999997</v>
      </c>
      <c r="AH176" s="24">
        <f>SUM(AH164:AH175)</f>
        <v>0</v>
      </c>
      <c r="AI176" s="24">
        <f t="shared" si="34"/>
        <v>39.393000000000001</v>
      </c>
      <c r="AJ176" s="24">
        <f t="shared" si="34"/>
        <v>2.165</v>
      </c>
      <c r="AK176" s="24">
        <f t="shared" si="34"/>
        <v>0.65999999999999992</v>
      </c>
      <c r="AL176" s="24">
        <f t="shared" si="34"/>
        <v>2.3730000000000002</v>
      </c>
      <c r="AM176" s="24">
        <f t="shared" si="34"/>
        <v>0</v>
      </c>
      <c r="AN176" s="24">
        <f t="shared" si="34"/>
        <v>1.028</v>
      </c>
      <c r="AO176" s="24">
        <f t="shared" si="34"/>
        <v>1.018</v>
      </c>
      <c r="AP176" s="24">
        <f t="shared" si="34"/>
        <v>4.17</v>
      </c>
      <c r="AQ176" s="24">
        <f t="shared" si="34"/>
        <v>28.231000000000002</v>
      </c>
      <c r="AR176" s="27">
        <f t="shared" ref="AR176" si="35">SUM(AR164:AR175)</f>
        <v>1216.527</v>
      </c>
    </row>
    <row r="177" spans="1:44" x14ac:dyDescent="0.3">
      <c r="A177" s="59"/>
      <c r="B177" s="60"/>
      <c r="C177" s="58"/>
      <c r="D177" s="49"/>
      <c r="E177" s="48"/>
      <c r="F177" s="49"/>
      <c r="G177" s="48"/>
      <c r="H177" s="49"/>
      <c r="I177" s="49"/>
      <c r="J177" s="50"/>
      <c r="K177" s="50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8"/>
      <c r="AD177" s="49"/>
      <c r="AE177" s="48"/>
      <c r="AF177" s="49"/>
      <c r="AG177" s="51"/>
      <c r="AH177" s="49"/>
      <c r="AI177" s="51"/>
      <c r="AJ177" s="51"/>
      <c r="AK177" s="51"/>
      <c r="AL177" s="51"/>
      <c r="AM177" s="52"/>
      <c r="AN177" s="51"/>
      <c r="AO177" s="51"/>
      <c r="AP177" s="51"/>
      <c r="AQ177" s="53"/>
      <c r="AR177" s="54"/>
    </row>
    <row r="178" spans="1:44" x14ac:dyDescent="0.3">
      <c r="A178" s="46" t="s">
        <v>53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</row>
    <row r="179" spans="1:44" s="38" customFormat="1" ht="15.6" x14ac:dyDescent="0.3">
      <c r="A179" s="34"/>
      <c r="B179" s="35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x14ac:dyDescent="0.3">
      <c r="A180" s="4"/>
      <c r="B180" s="34"/>
      <c r="C180" s="5"/>
      <c r="D180" s="5"/>
      <c r="E180" s="36"/>
      <c r="F180" s="36"/>
      <c r="G180" s="36"/>
      <c r="H180" s="36"/>
      <c r="I180" s="36"/>
      <c r="J180" s="7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9"/>
      <c r="AN180" s="36"/>
      <c r="AO180" s="36"/>
      <c r="AP180" s="36"/>
    </row>
    <row r="181" spans="1:44" x14ac:dyDescent="0.3">
      <c r="A181" s="34"/>
      <c r="B181" s="3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0"/>
      <c r="AN181" s="5"/>
      <c r="AO181" s="5"/>
      <c r="AP181" s="36"/>
    </row>
    <row r="182" spans="1:44" x14ac:dyDescent="0.3">
      <c r="A182" s="4"/>
      <c r="B182" s="4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</row>
    <row r="183" spans="1:44" x14ac:dyDescent="0.3">
      <c r="A183" s="4"/>
      <c r="B183" s="4"/>
      <c r="G183" s="6"/>
      <c r="AK183" s="4"/>
      <c r="AL183" s="4"/>
      <c r="AM183" s="39"/>
      <c r="AN183" s="4"/>
      <c r="AO183" s="4"/>
      <c r="AP183" s="4"/>
    </row>
    <row r="184" spans="1:44" x14ac:dyDescent="0.3">
      <c r="A184" s="4"/>
      <c r="B184" s="4"/>
      <c r="G184" s="6"/>
      <c r="AK184" s="4"/>
      <c r="AL184" s="4"/>
      <c r="AM184" s="39"/>
      <c r="AN184" s="4"/>
      <c r="AO184" s="4"/>
      <c r="AP184" s="4"/>
    </row>
    <row r="185" spans="1:44" x14ac:dyDescent="0.3">
      <c r="A185" s="4"/>
      <c r="B185" s="4"/>
      <c r="C185" s="42"/>
      <c r="D185" s="42"/>
      <c r="E185" s="42"/>
      <c r="F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</row>
    <row r="186" spans="1:44" x14ac:dyDescent="0.3">
      <c r="A186" s="4"/>
      <c r="B186" s="4"/>
      <c r="G186" s="6"/>
      <c r="AK186" s="4"/>
      <c r="AL186" s="4"/>
      <c r="AM186" s="39"/>
      <c r="AN186" s="4"/>
      <c r="AO186" s="4"/>
      <c r="AP186" s="4"/>
    </row>
    <row r="187" spans="1:44" x14ac:dyDescent="0.3">
      <c r="A187" s="4"/>
      <c r="B187" s="4"/>
      <c r="G187" s="6"/>
      <c r="AK187" s="4"/>
      <c r="AL187" s="4"/>
      <c r="AM187" s="39"/>
      <c r="AN187" s="4"/>
      <c r="AO187" s="4"/>
      <c r="AP187" s="4"/>
    </row>
    <row r="188" spans="1:44" x14ac:dyDescent="0.3">
      <c r="A188" s="4"/>
      <c r="B188" s="4"/>
      <c r="G188" s="6"/>
      <c r="AK188" s="4"/>
      <c r="AL188" s="4"/>
      <c r="AM188" s="39"/>
      <c r="AN188" s="4"/>
      <c r="AO188" s="4"/>
      <c r="AP188" s="4"/>
    </row>
    <row r="189" spans="1:44" x14ac:dyDescent="0.3">
      <c r="A189" s="4"/>
      <c r="B189" s="4"/>
      <c r="G189" s="6"/>
      <c r="AK189" s="4"/>
      <c r="AL189" s="4"/>
      <c r="AM189" s="39"/>
      <c r="AN189" s="4"/>
      <c r="AO189" s="4"/>
      <c r="AP189" s="4"/>
    </row>
    <row r="190" spans="1:44" x14ac:dyDescent="0.3">
      <c r="A190" s="4"/>
      <c r="B190" s="4"/>
      <c r="G190" s="6"/>
      <c r="AK190" s="4"/>
      <c r="AL190" s="4"/>
      <c r="AM190" s="39"/>
      <c r="AN190" s="4"/>
      <c r="AO190" s="4"/>
      <c r="AP190" s="4"/>
    </row>
    <row r="191" spans="1:44" x14ac:dyDescent="0.3">
      <c r="A191" s="4"/>
      <c r="B191" s="4"/>
      <c r="G191" s="6"/>
      <c r="AK191" s="4"/>
      <c r="AL191" s="4"/>
      <c r="AM191" s="39"/>
      <c r="AN191" s="4"/>
      <c r="AO191" s="4"/>
      <c r="AP191" s="4"/>
    </row>
    <row r="192" spans="1:44" x14ac:dyDescent="0.3">
      <c r="A192" s="4"/>
      <c r="B192" s="4"/>
      <c r="G192" s="6"/>
      <c r="AK192" s="4"/>
      <c r="AL192" s="4"/>
      <c r="AM192" s="39"/>
      <c r="AN192" s="4"/>
      <c r="AO192" s="4"/>
      <c r="AP192" s="4"/>
    </row>
    <row r="193" spans="7:39" s="4" customFormat="1" x14ac:dyDescent="0.3">
      <c r="G193" s="6"/>
      <c r="AM193" s="39"/>
    </row>
    <row r="194" spans="7:39" s="4" customFormat="1" x14ac:dyDescent="0.3">
      <c r="G194" s="6"/>
      <c r="AM194" s="39"/>
    </row>
    <row r="195" spans="7:39" s="4" customFormat="1" x14ac:dyDescent="0.3">
      <c r="G195" s="6"/>
      <c r="AM195" s="39"/>
    </row>
    <row r="196" spans="7:39" s="4" customFormat="1" x14ac:dyDescent="0.3">
      <c r="G196" s="6"/>
      <c r="AM196" s="39"/>
    </row>
    <row r="197" spans="7:39" s="4" customFormat="1" x14ac:dyDescent="0.3">
      <c r="G197" s="6"/>
      <c r="AM197" s="39"/>
    </row>
    <row r="198" spans="7:39" s="4" customFormat="1" x14ac:dyDescent="0.3">
      <c r="G198" s="6"/>
      <c r="AM198" s="39"/>
    </row>
    <row r="199" spans="7:39" s="4" customFormat="1" x14ac:dyDescent="0.3">
      <c r="G199" s="6"/>
      <c r="AM199" s="39"/>
    </row>
    <row r="200" spans="7:39" s="4" customFormat="1" x14ac:dyDescent="0.3">
      <c r="G200" s="6"/>
      <c r="AM200" s="39"/>
    </row>
    <row r="201" spans="7:39" s="4" customFormat="1" x14ac:dyDescent="0.3">
      <c r="G201" s="6"/>
      <c r="AM201" s="39"/>
    </row>
    <row r="202" spans="7:39" s="4" customFormat="1" x14ac:dyDescent="0.3">
      <c r="G202" s="6"/>
      <c r="AM202" s="39"/>
    </row>
    <row r="203" spans="7:39" s="4" customFormat="1" x14ac:dyDescent="0.3">
      <c r="G203" s="6"/>
      <c r="AM203" s="39"/>
    </row>
    <row r="204" spans="7:39" s="4" customFormat="1" x14ac:dyDescent="0.3">
      <c r="G204" s="6"/>
      <c r="AM204" s="39"/>
    </row>
    <row r="205" spans="7:39" s="4" customFormat="1" x14ac:dyDescent="0.3">
      <c r="G205" s="6"/>
      <c r="AM205" s="39"/>
    </row>
    <row r="206" spans="7:39" s="4" customFormat="1" x14ac:dyDescent="0.3">
      <c r="G206" s="6"/>
      <c r="AM206" s="39"/>
    </row>
    <row r="207" spans="7:39" s="4" customFormat="1" x14ac:dyDescent="0.3">
      <c r="G207" s="6"/>
      <c r="AM207" s="39"/>
    </row>
    <row r="208" spans="7:39" s="4" customFormat="1" x14ac:dyDescent="0.3">
      <c r="G208" s="6"/>
      <c r="AM208" s="39"/>
    </row>
    <row r="209" spans="7:39" s="4" customFormat="1" x14ac:dyDescent="0.3">
      <c r="G209" s="6"/>
      <c r="AM209" s="39"/>
    </row>
    <row r="210" spans="7:39" s="4" customFormat="1" x14ac:dyDescent="0.3">
      <c r="G210" s="6"/>
      <c r="AM210" s="39"/>
    </row>
    <row r="211" spans="7:39" s="4" customFormat="1" x14ac:dyDescent="0.3">
      <c r="G211" s="6"/>
      <c r="AM211" s="39"/>
    </row>
    <row r="212" spans="7:39" s="4" customFormat="1" x14ac:dyDescent="0.3">
      <c r="G212" s="6"/>
      <c r="AM212" s="39"/>
    </row>
    <row r="213" spans="7:39" s="4" customFormat="1" x14ac:dyDescent="0.3">
      <c r="G213" s="6"/>
      <c r="AM213" s="39"/>
    </row>
    <row r="214" spans="7:39" s="4" customFormat="1" x14ac:dyDescent="0.3">
      <c r="G214" s="6"/>
      <c r="AM214" s="39"/>
    </row>
    <row r="215" spans="7:39" s="4" customFormat="1" x14ac:dyDescent="0.3">
      <c r="G215" s="6"/>
      <c r="AM215" s="39"/>
    </row>
    <row r="216" spans="7:39" s="4" customFormat="1" x14ac:dyDescent="0.3">
      <c r="G216" s="6"/>
      <c r="AM216" s="39"/>
    </row>
    <row r="217" spans="7:39" s="4" customFormat="1" x14ac:dyDescent="0.3">
      <c r="G217" s="6"/>
      <c r="AM217" s="39"/>
    </row>
    <row r="218" spans="7:39" s="4" customFormat="1" x14ac:dyDescent="0.3">
      <c r="G218" s="6"/>
      <c r="AM218" s="39"/>
    </row>
    <row r="219" spans="7:39" s="4" customFormat="1" x14ac:dyDescent="0.3">
      <c r="G219" s="6"/>
      <c r="AM219" s="39"/>
    </row>
    <row r="220" spans="7:39" s="4" customFormat="1" x14ac:dyDescent="0.3">
      <c r="G220" s="6"/>
      <c r="AM220" s="39"/>
    </row>
    <row r="221" spans="7:39" s="4" customFormat="1" x14ac:dyDescent="0.3">
      <c r="G221" s="6"/>
      <c r="AM221" s="39"/>
    </row>
    <row r="222" spans="7:39" s="4" customFormat="1" x14ac:dyDescent="0.3">
      <c r="G222" s="6"/>
      <c r="AM222" s="39"/>
    </row>
    <row r="223" spans="7:39" s="4" customFormat="1" x14ac:dyDescent="0.3">
      <c r="G223" s="6"/>
      <c r="AM223" s="39"/>
    </row>
    <row r="224" spans="7:39" s="4" customFormat="1" x14ac:dyDescent="0.3">
      <c r="G224" s="6"/>
      <c r="AM224" s="39"/>
    </row>
    <row r="225" spans="7:39" s="4" customFormat="1" x14ac:dyDescent="0.3">
      <c r="G225" s="6"/>
      <c r="AM225" s="39"/>
    </row>
    <row r="226" spans="7:39" s="4" customFormat="1" x14ac:dyDescent="0.3">
      <c r="G226" s="6"/>
      <c r="AM226" s="39"/>
    </row>
    <row r="227" spans="7:39" s="4" customFormat="1" x14ac:dyDescent="0.3">
      <c r="G227" s="6"/>
      <c r="AM227" s="39"/>
    </row>
    <row r="228" spans="7:39" s="4" customFormat="1" x14ac:dyDescent="0.3">
      <c r="G228" s="6"/>
      <c r="AM228" s="39"/>
    </row>
    <row r="229" spans="7:39" s="4" customFormat="1" x14ac:dyDescent="0.3">
      <c r="G229" s="6"/>
      <c r="AM229" s="39"/>
    </row>
    <row r="230" spans="7:39" s="4" customFormat="1" x14ac:dyDescent="0.3">
      <c r="G230" s="6"/>
      <c r="AM230" s="39"/>
    </row>
    <row r="231" spans="7:39" s="4" customFormat="1" x14ac:dyDescent="0.3">
      <c r="G231" s="6"/>
      <c r="AM231" s="39"/>
    </row>
    <row r="232" spans="7:39" s="4" customFormat="1" x14ac:dyDescent="0.3">
      <c r="G232" s="6"/>
      <c r="AM232" s="39"/>
    </row>
    <row r="233" spans="7:39" s="4" customFormat="1" x14ac:dyDescent="0.3">
      <c r="G233" s="6"/>
      <c r="AM233" s="39"/>
    </row>
    <row r="234" spans="7:39" s="4" customFormat="1" x14ac:dyDescent="0.3">
      <c r="G234" s="6"/>
      <c r="AM234" s="39"/>
    </row>
    <row r="235" spans="7:39" s="4" customFormat="1" x14ac:dyDescent="0.3">
      <c r="G235" s="6"/>
      <c r="AM235" s="39"/>
    </row>
    <row r="236" spans="7:39" s="4" customFormat="1" x14ac:dyDescent="0.3">
      <c r="G236" s="6"/>
      <c r="AM236" s="39"/>
    </row>
    <row r="237" spans="7:39" s="4" customFormat="1" x14ac:dyDescent="0.3">
      <c r="G237" s="6"/>
      <c r="AM237" s="39"/>
    </row>
    <row r="238" spans="7:39" s="4" customFormat="1" x14ac:dyDescent="0.3">
      <c r="G238" s="6"/>
      <c r="AM238" s="39"/>
    </row>
    <row r="239" spans="7:39" s="4" customFormat="1" x14ac:dyDescent="0.3">
      <c r="G239" s="6"/>
      <c r="AM239" s="39"/>
    </row>
    <row r="240" spans="7:39" s="4" customFormat="1" x14ac:dyDescent="0.3">
      <c r="G240" s="6"/>
      <c r="AM240" s="39"/>
    </row>
    <row r="241" spans="7:39" s="4" customFormat="1" x14ac:dyDescent="0.3">
      <c r="G241" s="6"/>
      <c r="AM241" s="39"/>
    </row>
    <row r="242" spans="7:39" s="4" customFormat="1" x14ac:dyDescent="0.3">
      <c r="G242" s="6"/>
      <c r="AM242" s="39"/>
    </row>
    <row r="243" spans="7:39" s="4" customFormat="1" x14ac:dyDescent="0.3">
      <c r="G243" s="6"/>
      <c r="AM243" s="39"/>
    </row>
    <row r="244" spans="7:39" s="4" customFormat="1" x14ac:dyDescent="0.3">
      <c r="G244" s="6"/>
      <c r="AM244" s="39"/>
    </row>
    <row r="245" spans="7:39" s="4" customFormat="1" x14ac:dyDescent="0.3">
      <c r="G245" s="6"/>
      <c r="AM245" s="39"/>
    </row>
    <row r="246" spans="7:39" s="4" customFormat="1" x14ac:dyDescent="0.3">
      <c r="G246" s="6"/>
      <c r="AM246" s="39"/>
    </row>
    <row r="247" spans="7:39" s="4" customFormat="1" x14ac:dyDescent="0.3">
      <c r="G247" s="6"/>
      <c r="AM247" s="39"/>
    </row>
    <row r="248" spans="7:39" s="4" customFormat="1" x14ac:dyDescent="0.3">
      <c r="G248" s="6"/>
      <c r="AM248" s="39"/>
    </row>
    <row r="249" spans="7:39" s="4" customFormat="1" x14ac:dyDescent="0.3">
      <c r="G249" s="6"/>
      <c r="AM249" s="39"/>
    </row>
    <row r="250" spans="7:39" s="4" customFormat="1" x14ac:dyDescent="0.3">
      <c r="G250" s="6"/>
      <c r="AM250" s="39"/>
    </row>
    <row r="251" spans="7:39" s="4" customFormat="1" x14ac:dyDescent="0.3">
      <c r="G251" s="6"/>
      <c r="AM251" s="39"/>
    </row>
    <row r="252" spans="7:39" s="4" customFormat="1" x14ac:dyDescent="0.3">
      <c r="G252" s="6"/>
      <c r="AM252" s="39"/>
    </row>
    <row r="253" spans="7:39" s="4" customFormat="1" x14ac:dyDescent="0.3">
      <c r="G253" s="6"/>
      <c r="AM253" s="39"/>
    </row>
    <row r="254" spans="7:39" s="4" customFormat="1" x14ac:dyDescent="0.3">
      <c r="G254" s="6"/>
      <c r="AM254" s="39"/>
    </row>
    <row r="255" spans="7:39" s="4" customFormat="1" x14ac:dyDescent="0.3">
      <c r="G255" s="6"/>
      <c r="AM255" s="39"/>
    </row>
    <row r="256" spans="7:39" s="4" customFormat="1" x14ac:dyDescent="0.3">
      <c r="G256" s="6"/>
      <c r="AM256" s="39"/>
    </row>
    <row r="257" spans="7:39" s="4" customFormat="1" x14ac:dyDescent="0.3">
      <c r="G257" s="6"/>
      <c r="AM257" s="39"/>
    </row>
    <row r="258" spans="7:39" s="4" customFormat="1" x14ac:dyDescent="0.3">
      <c r="G258" s="6"/>
      <c r="AM258" s="39"/>
    </row>
    <row r="259" spans="7:39" s="4" customFormat="1" x14ac:dyDescent="0.3">
      <c r="G259" s="6"/>
      <c r="AM259" s="39"/>
    </row>
    <row r="260" spans="7:39" s="4" customFormat="1" x14ac:dyDescent="0.3">
      <c r="G260" s="6"/>
      <c r="AM260" s="39"/>
    </row>
    <row r="261" spans="7:39" s="4" customFormat="1" x14ac:dyDescent="0.3">
      <c r="G261" s="6"/>
      <c r="AM261" s="39"/>
    </row>
    <row r="262" spans="7:39" s="4" customFormat="1" x14ac:dyDescent="0.3">
      <c r="G262" s="6"/>
      <c r="AM262" s="39"/>
    </row>
    <row r="263" spans="7:39" s="4" customFormat="1" x14ac:dyDescent="0.3">
      <c r="G263" s="6"/>
      <c r="AM263" s="39"/>
    </row>
    <row r="264" spans="7:39" s="4" customFormat="1" x14ac:dyDescent="0.3">
      <c r="G264" s="6"/>
      <c r="AM264" s="39"/>
    </row>
    <row r="265" spans="7:39" s="4" customFormat="1" x14ac:dyDescent="0.3">
      <c r="G265" s="6"/>
      <c r="AM265" s="39"/>
    </row>
    <row r="266" spans="7:39" s="4" customFormat="1" x14ac:dyDescent="0.3">
      <c r="G266" s="6"/>
      <c r="AM266" s="39"/>
    </row>
    <row r="267" spans="7:39" s="4" customFormat="1" x14ac:dyDescent="0.3">
      <c r="G267" s="6"/>
      <c r="AM267" s="39"/>
    </row>
    <row r="268" spans="7:39" s="4" customFormat="1" x14ac:dyDescent="0.3">
      <c r="G268" s="6"/>
      <c r="AM268" s="39"/>
    </row>
    <row r="269" spans="7:39" s="4" customFormat="1" x14ac:dyDescent="0.3">
      <c r="G269" s="6"/>
      <c r="AM269" s="39"/>
    </row>
    <row r="270" spans="7:39" s="4" customFormat="1" x14ac:dyDescent="0.3">
      <c r="G270" s="6"/>
      <c r="AM270" s="39"/>
    </row>
    <row r="271" spans="7:39" s="4" customFormat="1" x14ac:dyDescent="0.3">
      <c r="G271" s="6"/>
      <c r="AM271" s="39"/>
    </row>
    <row r="272" spans="7:39" s="4" customFormat="1" x14ac:dyDescent="0.3">
      <c r="G272" s="6"/>
      <c r="AM272" s="39"/>
    </row>
    <row r="273" spans="7:39" s="4" customFormat="1" x14ac:dyDescent="0.3">
      <c r="G273" s="6"/>
      <c r="AM273" s="39"/>
    </row>
    <row r="274" spans="7:39" s="4" customFormat="1" x14ac:dyDescent="0.3">
      <c r="G274" s="6"/>
      <c r="AM274" s="39"/>
    </row>
    <row r="275" spans="7:39" s="4" customFormat="1" x14ac:dyDescent="0.3">
      <c r="G275" s="6"/>
      <c r="AM275" s="39"/>
    </row>
    <row r="276" spans="7:39" s="4" customFormat="1" x14ac:dyDescent="0.3">
      <c r="G276" s="6"/>
      <c r="AM276" s="39"/>
    </row>
    <row r="277" spans="7:39" s="4" customFormat="1" x14ac:dyDescent="0.3">
      <c r="G277" s="6"/>
      <c r="AM277" s="39"/>
    </row>
    <row r="278" spans="7:39" s="4" customFormat="1" x14ac:dyDescent="0.3">
      <c r="G278" s="6"/>
      <c r="AM278" s="39"/>
    </row>
    <row r="279" spans="7:39" s="4" customFormat="1" x14ac:dyDescent="0.3">
      <c r="G279" s="6"/>
      <c r="AM279" s="39"/>
    </row>
    <row r="280" spans="7:39" s="4" customFormat="1" x14ac:dyDescent="0.3">
      <c r="G280" s="6"/>
      <c r="AM280" s="39"/>
    </row>
    <row r="281" spans="7:39" s="4" customFormat="1" x14ac:dyDescent="0.3">
      <c r="G281" s="6"/>
      <c r="AM281" s="39"/>
    </row>
    <row r="282" spans="7:39" s="4" customFormat="1" x14ac:dyDescent="0.3">
      <c r="G282" s="6"/>
      <c r="AM282" s="39"/>
    </row>
    <row r="283" spans="7:39" s="4" customFormat="1" x14ac:dyDescent="0.3">
      <c r="G283" s="6"/>
      <c r="AM283" s="39"/>
    </row>
    <row r="284" spans="7:39" s="4" customFormat="1" x14ac:dyDescent="0.3">
      <c r="G284" s="6"/>
      <c r="AM284" s="39"/>
    </row>
    <row r="285" spans="7:39" s="4" customFormat="1" x14ac:dyDescent="0.3">
      <c r="G285" s="6"/>
      <c r="AM285" s="39"/>
    </row>
    <row r="286" spans="7:39" s="4" customFormat="1" x14ac:dyDescent="0.3">
      <c r="G286" s="6"/>
      <c r="AM286" s="39"/>
    </row>
    <row r="287" spans="7:39" s="4" customFormat="1" x14ac:dyDescent="0.3">
      <c r="G287" s="6"/>
      <c r="AM287" s="39"/>
    </row>
    <row r="288" spans="7:39" s="4" customFormat="1" x14ac:dyDescent="0.3">
      <c r="G288" s="6"/>
      <c r="AM288" s="39"/>
    </row>
    <row r="289" spans="7:39" s="4" customFormat="1" x14ac:dyDescent="0.3">
      <c r="G289" s="6"/>
      <c r="AM289" s="39"/>
    </row>
    <row r="290" spans="7:39" s="4" customFormat="1" x14ac:dyDescent="0.3">
      <c r="G290" s="6"/>
      <c r="AM290" s="39"/>
    </row>
    <row r="291" spans="7:39" s="4" customFormat="1" x14ac:dyDescent="0.3">
      <c r="G291" s="6"/>
      <c r="AM291" s="39"/>
    </row>
    <row r="292" spans="7:39" s="4" customFormat="1" x14ac:dyDescent="0.3">
      <c r="G292" s="6"/>
      <c r="AM292" s="39"/>
    </row>
    <row r="293" spans="7:39" s="4" customFormat="1" x14ac:dyDescent="0.3">
      <c r="G293" s="6"/>
      <c r="AM293" s="39"/>
    </row>
    <row r="294" spans="7:39" s="4" customFormat="1" x14ac:dyDescent="0.3">
      <c r="G294" s="6"/>
      <c r="AM294" s="39"/>
    </row>
    <row r="295" spans="7:39" s="4" customFormat="1" x14ac:dyDescent="0.3">
      <c r="G295" s="6"/>
      <c r="AM295" s="39"/>
    </row>
    <row r="296" spans="7:39" s="4" customFormat="1" x14ac:dyDescent="0.3">
      <c r="G296" s="6"/>
      <c r="AM296" s="39"/>
    </row>
    <row r="297" spans="7:39" s="4" customFormat="1" x14ac:dyDescent="0.3">
      <c r="G297" s="6"/>
      <c r="AM297" s="39"/>
    </row>
    <row r="298" spans="7:39" s="4" customFormat="1" x14ac:dyDescent="0.3">
      <c r="G298" s="6"/>
      <c r="AM298" s="39"/>
    </row>
    <row r="299" spans="7:39" s="4" customFormat="1" x14ac:dyDescent="0.3">
      <c r="G299" s="6"/>
      <c r="AM299" s="39"/>
    </row>
    <row r="300" spans="7:39" s="4" customFormat="1" x14ac:dyDescent="0.3">
      <c r="G300" s="6"/>
      <c r="AM300" s="39"/>
    </row>
    <row r="301" spans="7:39" s="4" customFormat="1" x14ac:dyDescent="0.3">
      <c r="G301" s="6"/>
      <c r="AM301" s="39"/>
    </row>
    <row r="302" spans="7:39" s="4" customFormat="1" x14ac:dyDescent="0.3">
      <c r="G302" s="6"/>
      <c r="AM302" s="39"/>
    </row>
    <row r="303" spans="7:39" s="4" customFormat="1" x14ac:dyDescent="0.3">
      <c r="G303" s="6"/>
      <c r="AM303" s="39"/>
    </row>
    <row r="304" spans="7:39" s="4" customFormat="1" x14ac:dyDescent="0.3">
      <c r="G304" s="6"/>
      <c r="AM304" s="39"/>
    </row>
    <row r="305" spans="7:39" s="4" customFormat="1" x14ac:dyDescent="0.3">
      <c r="G305" s="6"/>
      <c r="AM305" s="39"/>
    </row>
    <row r="306" spans="7:39" s="4" customFormat="1" x14ac:dyDescent="0.3">
      <c r="G306" s="6"/>
      <c r="AM306" s="39"/>
    </row>
    <row r="307" spans="7:39" s="4" customFormat="1" x14ac:dyDescent="0.3">
      <c r="G307" s="6"/>
      <c r="AM307" s="39"/>
    </row>
    <row r="308" spans="7:39" s="4" customFormat="1" x14ac:dyDescent="0.3">
      <c r="G308" s="6"/>
      <c r="AM308" s="39"/>
    </row>
    <row r="309" spans="7:39" s="4" customFormat="1" x14ac:dyDescent="0.3">
      <c r="G309" s="6"/>
      <c r="AM309" s="39"/>
    </row>
    <row r="310" spans="7:39" s="4" customFormat="1" x14ac:dyDescent="0.3">
      <c r="G310" s="6"/>
      <c r="AM310" s="39"/>
    </row>
    <row r="311" spans="7:39" s="4" customFormat="1" x14ac:dyDescent="0.3">
      <c r="G311" s="6"/>
      <c r="AM311" s="39"/>
    </row>
    <row r="312" spans="7:39" s="4" customFormat="1" x14ac:dyDescent="0.3">
      <c r="G312" s="6"/>
      <c r="AM312" s="39"/>
    </row>
    <row r="313" spans="7:39" s="4" customFormat="1" x14ac:dyDescent="0.3">
      <c r="G313" s="6"/>
      <c r="AM313" s="39"/>
    </row>
    <row r="314" spans="7:39" s="4" customFormat="1" x14ac:dyDescent="0.3">
      <c r="G314" s="6"/>
      <c r="AM314" s="39"/>
    </row>
    <row r="315" spans="7:39" s="4" customFormat="1" x14ac:dyDescent="0.3">
      <c r="G315" s="6"/>
      <c r="AM315" s="39"/>
    </row>
    <row r="316" spans="7:39" s="4" customFormat="1" x14ac:dyDescent="0.3">
      <c r="G316" s="6"/>
      <c r="AM316" s="39"/>
    </row>
    <row r="317" spans="7:39" s="4" customFormat="1" x14ac:dyDescent="0.3">
      <c r="G317" s="6"/>
      <c r="AM317" s="39"/>
    </row>
    <row r="318" spans="7:39" s="4" customFormat="1" x14ac:dyDescent="0.3">
      <c r="G318" s="6"/>
      <c r="AM318" s="39"/>
    </row>
    <row r="319" spans="7:39" s="4" customFormat="1" x14ac:dyDescent="0.3">
      <c r="G319" s="6"/>
      <c r="AM319" s="39"/>
    </row>
    <row r="320" spans="7:39" s="4" customFormat="1" x14ac:dyDescent="0.3">
      <c r="G320" s="6"/>
      <c r="AM320" s="39"/>
    </row>
    <row r="321" spans="7:39" s="4" customFormat="1" x14ac:dyDescent="0.3">
      <c r="G321" s="6"/>
      <c r="AM321" s="39"/>
    </row>
    <row r="322" spans="7:39" s="4" customFormat="1" x14ac:dyDescent="0.3">
      <c r="G322" s="6"/>
      <c r="AM322" s="39"/>
    </row>
    <row r="323" spans="7:39" s="4" customFormat="1" x14ac:dyDescent="0.3">
      <c r="G323" s="6"/>
      <c r="AM323" s="39"/>
    </row>
    <row r="324" spans="7:39" s="4" customFormat="1" x14ac:dyDescent="0.3">
      <c r="G324" s="6"/>
      <c r="AM324" s="39"/>
    </row>
    <row r="325" spans="7:39" s="4" customFormat="1" x14ac:dyDescent="0.3">
      <c r="G325" s="6"/>
      <c r="AM325" s="39"/>
    </row>
    <row r="326" spans="7:39" s="4" customFormat="1" x14ac:dyDescent="0.3">
      <c r="G326" s="6"/>
      <c r="AM326" s="39"/>
    </row>
    <row r="327" spans="7:39" s="4" customFormat="1" x14ac:dyDescent="0.3">
      <c r="G327" s="6"/>
      <c r="AM327" s="39"/>
    </row>
    <row r="328" spans="7:39" s="4" customFormat="1" x14ac:dyDescent="0.3">
      <c r="G328" s="6"/>
      <c r="AM328" s="39"/>
    </row>
    <row r="329" spans="7:39" s="4" customFormat="1" x14ac:dyDescent="0.3">
      <c r="G329" s="6"/>
      <c r="AM329" s="39"/>
    </row>
    <row r="330" spans="7:39" s="4" customFormat="1" x14ac:dyDescent="0.3">
      <c r="G330" s="6"/>
      <c r="AM330" s="39"/>
    </row>
    <row r="331" spans="7:39" s="4" customFormat="1" x14ac:dyDescent="0.3">
      <c r="G331" s="6"/>
      <c r="AM331" s="39"/>
    </row>
    <row r="332" spans="7:39" s="4" customFormat="1" x14ac:dyDescent="0.3">
      <c r="G332" s="6"/>
      <c r="AM332" s="39"/>
    </row>
    <row r="333" spans="7:39" s="4" customFormat="1" x14ac:dyDescent="0.3">
      <c r="G333" s="6"/>
      <c r="AM333" s="39"/>
    </row>
    <row r="334" spans="7:39" s="4" customFormat="1" x14ac:dyDescent="0.3">
      <c r="G334" s="6"/>
      <c r="AM334" s="39"/>
    </row>
    <row r="335" spans="7:39" s="4" customFormat="1" x14ac:dyDescent="0.3">
      <c r="G335" s="6"/>
      <c r="AM335" s="39"/>
    </row>
    <row r="336" spans="7:39" s="4" customFormat="1" x14ac:dyDescent="0.3">
      <c r="G336" s="6"/>
      <c r="AM336" s="39"/>
    </row>
    <row r="337" spans="7:39" s="4" customFormat="1" x14ac:dyDescent="0.3">
      <c r="G337" s="6"/>
      <c r="AM337" s="39"/>
    </row>
    <row r="338" spans="7:39" s="4" customFormat="1" x14ac:dyDescent="0.3">
      <c r="G338" s="6"/>
      <c r="AM338" s="39"/>
    </row>
    <row r="339" spans="7:39" s="4" customFormat="1" x14ac:dyDescent="0.3">
      <c r="G339" s="6"/>
      <c r="AM339" s="39"/>
    </row>
    <row r="340" spans="7:39" s="4" customFormat="1" x14ac:dyDescent="0.3">
      <c r="G340" s="6"/>
      <c r="AM340" s="39"/>
    </row>
    <row r="341" spans="7:39" s="4" customFormat="1" x14ac:dyDescent="0.3">
      <c r="G341" s="6"/>
      <c r="AM341" s="39"/>
    </row>
    <row r="342" spans="7:39" s="4" customFormat="1" x14ac:dyDescent="0.3">
      <c r="G342" s="6"/>
      <c r="AM342" s="39"/>
    </row>
    <row r="343" spans="7:39" s="4" customFormat="1" x14ac:dyDescent="0.3">
      <c r="G343" s="6"/>
      <c r="AM343" s="39"/>
    </row>
    <row r="344" spans="7:39" s="4" customFormat="1" x14ac:dyDescent="0.3">
      <c r="G344" s="6"/>
      <c r="AM344" s="39"/>
    </row>
    <row r="345" spans="7:39" s="4" customFormat="1" x14ac:dyDescent="0.3">
      <c r="G345" s="6"/>
      <c r="AM345" s="39"/>
    </row>
    <row r="346" spans="7:39" s="4" customFormat="1" x14ac:dyDescent="0.3">
      <c r="G346" s="6"/>
      <c r="AM346" s="39"/>
    </row>
    <row r="347" spans="7:39" s="4" customFormat="1" x14ac:dyDescent="0.3">
      <c r="G347" s="6"/>
      <c r="AM347" s="39"/>
    </row>
    <row r="348" spans="7:39" s="4" customFormat="1" x14ac:dyDescent="0.3">
      <c r="G348" s="6"/>
      <c r="AM348" s="39"/>
    </row>
    <row r="349" spans="7:39" s="4" customFormat="1" x14ac:dyDescent="0.3">
      <c r="G349" s="6"/>
      <c r="AM349" s="39"/>
    </row>
    <row r="350" spans="7:39" s="4" customFormat="1" x14ac:dyDescent="0.3">
      <c r="G350" s="6"/>
      <c r="AM350" s="39"/>
    </row>
    <row r="351" spans="7:39" s="4" customFormat="1" x14ac:dyDescent="0.3">
      <c r="G351" s="6"/>
      <c r="AM351" s="39"/>
    </row>
    <row r="352" spans="7:39" s="4" customFormat="1" x14ac:dyDescent="0.3">
      <c r="G352" s="6"/>
      <c r="AM352" s="39"/>
    </row>
    <row r="353" spans="7:39" s="4" customFormat="1" x14ac:dyDescent="0.3">
      <c r="G353" s="6"/>
      <c r="AM353" s="39"/>
    </row>
    <row r="354" spans="7:39" s="4" customFormat="1" x14ac:dyDescent="0.3">
      <c r="G354" s="6"/>
      <c r="AM354" s="39"/>
    </row>
    <row r="355" spans="7:39" s="4" customFormat="1" x14ac:dyDescent="0.3">
      <c r="G355" s="6"/>
      <c r="AM355" s="39"/>
    </row>
    <row r="356" spans="7:39" s="4" customFormat="1" x14ac:dyDescent="0.3">
      <c r="G356" s="6"/>
      <c r="AM356" s="39"/>
    </row>
    <row r="357" spans="7:39" s="4" customFormat="1" x14ac:dyDescent="0.3">
      <c r="G357" s="6"/>
      <c r="AM357" s="39"/>
    </row>
    <row r="358" spans="7:39" s="4" customFormat="1" x14ac:dyDescent="0.3">
      <c r="G358" s="6"/>
      <c r="AM358" s="39"/>
    </row>
    <row r="359" spans="7:39" s="4" customFormat="1" x14ac:dyDescent="0.3">
      <c r="G359" s="6"/>
      <c r="AM359" s="39"/>
    </row>
    <row r="360" spans="7:39" s="4" customFormat="1" x14ac:dyDescent="0.3">
      <c r="G360" s="6"/>
      <c r="AM360" s="39"/>
    </row>
    <row r="361" spans="7:39" s="4" customFormat="1" x14ac:dyDescent="0.3">
      <c r="G361" s="6"/>
      <c r="AM361" s="39"/>
    </row>
    <row r="362" spans="7:39" s="4" customFormat="1" x14ac:dyDescent="0.3">
      <c r="G362" s="6"/>
      <c r="AM362" s="39"/>
    </row>
    <row r="363" spans="7:39" s="4" customFormat="1" x14ac:dyDescent="0.3">
      <c r="G363" s="6"/>
      <c r="AM363" s="39"/>
    </row>
    <row r="364" spans="7:39" s="4" customFormat="1" x14ac:dyDescent="0.3">
      <c r="G364" s="6"/>
      <c r="AM364" s="39"/>
    </row>
    <row r="365" spans="7:39" s="4" customFormat="1" x14ac:dyDescent="0.3">
      <c r="G365" s="6"/>
      <c r="AM365" s="39"/>
    </row>
    <row r="366" spans="7:39" s="4" customFormat="1" x14ac:dyDescent="0.3">
      <c r="G366" s="6"/>
      <c r="AM366" s="39"/>
    </row>
    <row r="367" spans="7:39" s="4" customFormat="1" x14ac:dyDescent="0.3">
      <c r="G367" s="6"/>
      <c r="AM367" s="39"/>
    </row>
    <row r="368" spans="7:39" s="4" customFormat="1" x14ac:dyDescent="0.3">
      <c r="G368" s="6"/>
      <c r="AM368" s="39"/>
    </row>
    <row r="369" spans="7:39" s="4" customFormat="1" x14ac:dyDescent="0.3">
      <c r="G369" s="6"/>
      <c r="AM369" s="39"/>
    </row>
    <row r="370" spans="7:39" s="4" customFormat="1" x14ac:dyDescent="0.3">
      <c r="G370" s="6"/>
      <c r="AM370" s="39"/>
    </row>
    <row r="371" spans="7:39" s="4" customFormat="1" x14ac:dyDescent="0.3">
      <c r="G371" s="6"/>
      <c r="AM371" s="39"/>
    </row>
    <row r="372" spans="7:39" s="4" customFormat="1" x14ac:dyDescent="0.3">
      <c r="G372" s="6"/>
      <c r="AM372" s="39"/>
    </row>
    <row r="373" spans="7:39" s="4" customFormat="1" x14ac:dyDescent="0.3">
      <c r="G373" s="6"/>
      <c r="AM373" s="39"/>
    </row>
    <row r="374" spans="7:39" s="4" customFormat="1" x14ac:dyDescent="0.3">
      <c r="G374" s="6"/>
      <c r="AM374" s="39"/>
    </row>
    <row r="375" spans="7:39" s="4" customFormat="1" x14ac:dyDescent="0.3">
      <c r="G375" s="6"/>
      <c r="AM375" s="39"/>
    </row>
    <row r="376" spans="7:39" s="4" customFormat="1" x14ac:dyDescent="0.3">
      <c r="G376" s="6"/>
      <c r="AM376" s="39"/>
    </row>
    <row r="377" spans="7:39" s="4" customFormat="1" x14ac:dyDescent="0.3">
      <c r="G377" s="6"/>
      <c r="AM377" s="39"/>
    </row>
    <row r="378" spans="7:39" s="4" customFormat="1" x14ac:dyDescent="0.3">
      <c r="G378" s="6"/>
      <c r="AM378" s="39"/>
    </row>
    <row r="379" spans="7:39" s="4" customFormat="1" x14ac:dyDescent="0.3">
      <c r="G379" s="6"/>
      <c r="AM379" s="39"/>
    </row>
    <row r="380" spans="7:39" s="4" customFormat="1" x14ac:dyDescent="0.3">
      <c r="G380" s="6"/>
      <c r="AM380" s="39"/>
    </row>
    <row r="381" spans="7:39" s="4" customFormat="1" x14ac:dyDescent="0.3">
      <c r="G381" s="6"/>
      <c r="AM381" s="39"/>
    </row>
    <row r="382" spans="7:39" s="4" customFormat="1" x14ac:dyDescent="0.3">
      <c r="G382" s="6"/>
      <c r="AM382" s="39"/>
    </row>
    <row r="383" spans="7:39" s="4" customFormat="1" x14ac:dyDescent="0.3">
      <c r="G383" s="6"/>
      <c r="AM383" s="39"/>
    </row>
    <row r="384" spans="7:39" s="4" customFormat="1" x14ac:dyDescent="0.3">
      <c r="G384" s="6"/>
      <c r="AM384" s="39"/>
    </row>
    <row r="385" spans="7:39" s="4" customFormat="1" x14ac:dyDescent="0.3">
      <c r="G385" s="6"/>
      <c r="AM385" s="39"/>
    </row>
    <row r="386" spans="7:39" s="4" customFormat="1" x14ac:dyDescent="0.3">
      <c r="G386" s="6"/>
      <c r="AM386" s="39"/>
    </row>
    <row r="387" spans="7:39" s="4" customFormat="1" x14ac:dyDescent="0.3">
      <c r="G387" s="6"/>
      <c r="AM387" s="39"/>
    </row>
    <row r="388" spans="7:39" s="4" customFormat="1" x14ac:dyDescent="0.3">
      <c r="G388" s="6"/>
      <c r="AM388" s="39"/>
    </row>
    <row r="389" spans="7:39" s="4" customFormat="1" x14ac:dyDescent="0.3">
      <c r="G389" s="6"/>
      <c r="AM389" s="39"/>
    </row>
    <row r="390" spans="7:39" s="4" customFormat="1" x14ac:dyDescent="0.3">
      <c r="G390" s="6"/>
      <c r="AM390" s="39"/>
    </row>
    <row r="391" spans="7:39" s="4" customFormat="1" x14ac:dyDescent="0.3">
      <c r="G391" s="6"/>
      <c r="AM391" s="39"/>
    </row>
    <row r="392" spans="7:39" s="4" customFormat="1" x14ac:dyDescent="0.3">
      <c r="G392" s="6"/>
      <c r="AM392" s="39"/>
    </row>
    <row r="393" spans="7:39" s="4" customFormat="1" x14ac:dyDescent="0.3">
      <c r="G393" s="6"/>
      <c r="AM393" s="39"/>
    </row>
    <row r="394" spans="7:39" s="4" customFormat="1" x14ac:dyDescent="0.3">
      <c r="G394" s="6"/>
      <c r="AM394" s="39"/>
    </row>
    <row r="395" spans="7:39" s="4" customFormat="1" x14ac:dyDescent="0.3">
      <c r="G395" s="6"/>
      <c r="AM395" s="39"/>
    </row>
    <row r="396" spans="7:39" s="4" customFormat="1" x14ac:dyDescent="0.3">
      <c r="G396" s="6"/>
      <c r="AM396" s="39"/>
    </row>
    <row r="397" spans="7:39" s="4" customFormat="1" x14ac:dyDescent="0.3">
      <c r="G397" s="6"/>
      <c r="AM397" s="39"/>
    </row>
    <row r="398" spans="7:39" s="4" customFormat="1" x14ac:dyDescent="0.3">
      <c r="G398" s="6"/>
      <c r="AM398" s="39"/>
    </row>
    <row r="399" spans="7:39" s="4" customFormat="1" x14ac:dyDescent="0.3">
      <c r="G399" s="6"/>
      <c r="AM399" s="39"/>
    </row>
    <row r="400" spans="7:39" s="4" customFormat="1" x14ac:dyDescent="0.3">
      <c r="G400" s="6"/>
      <c r="AM400" s="39"/>
    </row>
    <row r="401" spans="7:39" s="4" customFormat="1" x14ac:dyDescent="0.3">
      <c r="G401" s="6"/>
      <c r="AM401" s="39"/>
    </row>
    <row r="402" spans="7:39" s="4" customFormat="1" x14ac:dyDescent="0.3">
      <c r="G402" s="6"/>
      <c r="AM402" s="39"/>
    </row>
    <row r="403" spans="7:39" s="4" customFormat="1" x14ac:dyDescent="0.3">
      <c r="G403" s="6"/>
      <c r="AM403" s="39"/>
    </row>
    <row r="404" spans="7:39" s="4" customFormat="1" x14ac:dyDescent="0.3">
      <c r="G404" s="6"/>
      <c r="AM404" s="39"/>
    </row>
    <row r="405" spans="7:39" s="4" customFormat="1" x14ac:dyDescent="0.3">
      <c r="G405" s="6"/>
      <c r="AM405" s="39"/>
    </row>
    <row r="406" spans="7:39" s="4" customFormat="1" x14ac:dyDescent="0.3">
      <c r="G406" s="6"/>
      <c r="AM406" s="39"/>
    </row>
    <row r="407" spans="7:39" s="4" customFormat="1" x14ac:dyDescent="0.3">
      <c r="G407" s="6"/>
      <c r="AM407" s="39"/>
    </row>
    <row r="408" spans="7:39" s="4" customFormat="1" x14ac:dyDescent="0.3">
      <c r="G408" s="6"/>
      <c r="AM408" s="39"/>
    </row>
    <row r="409" spans="7:39" s="4" customFormat="1" x14ac:dyDescent="0.3">
      <c r="G409" s="6"/>
      <c r="AM409" s="39"/>
    </row>
    <row r="410" spans="7:39" s="4" customFormat="1" x14ac:dyDescent="0.3">
      <c r="G410" s="6"/>
      <c r="AM410" s="39"/>
    </row>
    <row r="411" spans="7:39" s="4" customFormat="1" x14ac:dyDescent="0.3">
      <c r="G411" s="6"/>
      <c r="AM411" s="39"/>
    </row>
    <row r="412" spans="7:39" s="4" customFormat="1" x14ac:dyDescent="0.3">
      <c r="G412" s="6"/>
      <c r="AM412" s="39"/>
    </row>
    <row r="413" spans="7:39" s="4" customFormat="1" x14ac:dyDescent="0.3">
      <c r="G413" s="6"/>
      <c r="AM413" s="39"/>
    </row>
    <row r="414" spans="7:39" s="4" customFormat="1" x14ac:dyDescent="0.3">
      <c r="G414" s="6"/>
      <c r="AM414" s="39"/>
    </row>
    <row r="415" spans="7:39" s="4" customFormat="1" x14ac:dyDescent="0.3">
      <c r="G415" s="6"/>
      <c r="AM415" s="39"/>
    </row>
    <row r="416" spans="7:39" s="4" customFormat="1" x14ac:dyDescent="0.3">
      <c r="G416" s="6"/>
      <c r="AM416" s="39"/>
    </row>
    <row r="417" spans="7:39" s="4" customFormat="1" x14ac:dyDescent="0.3">
      <c r="G417" s="6"/>
      <c r="AM417" s="39"/>
    </row>
    <row r="418" spans="7:39" s="4" customFormat="1" x14ac:dyDescent="0.3">
      <c r="G418" s="6"/>
      <c r="AM418" s="39"/>
    </row>
    <row r="419" spans="7:39" s="4" customFormat="1" x14ac:dyDescent="0.3">
      <c r="G419" s="6"/>
      <c r="AM419" s="39"/>
    </row>
    <row r="420" spans="7:39" s="4" customFormat="1" x14ac:dyDescent="0.3">
      <c r="G420" s="6"/>
      <c r="AM420" s="39"/>
    </row>
    <row r="421" spans="7:39" s="4" customFormat="1" x14ac:dyDescent="0.3">
      <c r="G421" s="6"/>
      <c r="AM421" s="39"/>
    </row>
    <row r="422" spans="7:39" s="4" customFormat="1" x14ac:dyDescent="0.3">
      <c r="G422" s="6"/>
      <c r="AM422" s="39"/>
    </row>
    <row r="423" spans="7:39" s="4" customFormat="1" x14ac:dyDescent="0.3">
      <c r="G423" s="6"/>
      <c r="AM423" s="39"/>
    </row>
    <row r="424" spans="7:39" s="4" customFormat="1" x14ac:dyDescent="0.3">
      <c r="G424" s="6"/>
      <c r="AM424" s="39"/>
    </row>
    <row r="425" spans="7:39" s="4" customFormat="1" x14ac:dyDescent="0.3">
      <c r="G425" s="6"/>
      <c r="AM425" s="39"/>
    </row>
    <row r="426" spans="7:39" s="4" customFormat="1" x14ac:dyDescent="0.3">
      <c r="G426" s="6"/>
      <c r="AM426" s="39"/>
    </row>
    <row r="427" spans="7:39" s="4" customFormat="1" x14ac:dyDescent="0.3">
      <c r="G427" s="6"/>
      <c r="AM427" s="39"/>
    </row>
    <row r="428" spans="7:39" s="4" customFormat="1" x14ac:dyDescent="0.3">
      <c r="G428" s="6"/>
      <c r="AM428" s="39"/>
    </row>
    <row r="429" spans="7:39" s="4" customFormat="1" x14ac:dyDescent="0.3">
      <c r="G429" s="6"/>
      <c r="AM429" s="39"/>
    </row>
    <row r="430" spans="7:39" s="4" customFormat="1" x14ac:dyDescent="0.3">
      <c r="G430" s="6"/>
      <c r="AM430" s="39"/>
    </row>
    <row r="431" spans="7:39" s="4" customFormat="1" x14ac:dyDescent="0.3">
      <c r="G431" s="6"/>
      <c r="AM431" s="39"/>
    </row>
    <row r="432" spans="7:39" s="4" customFormat="1" x14ac:dyDescent="0.3">
      <c r="G432" s="6"/>
      <c r="AM432" s="39"/>
    </row>
    <row r="433" spans="7:39" s="4" customFormat="1" x14ac:dyDescent="0.3">
      <c r="G433" s="6"/>
      <c r="AM433" s="39"/>
    </row>
    <row r="434" spans="7:39" s="4" customFormat="1" x14ac:dyDescent="0.3">
      <c r="G434" s="6"/>
      <c r="AM434" s="39"/>
    </row>
    <row r="435" spans="7:39" s="4" customFormat="1" x14ac:dyDescent="0.3">
      <c r="G435" s="6"/>
      <c r="AM435" s="39"/>
    </row>
    <row r="436" spans="7:39" s="4" customFormat="1" x14ac:dyDescent="0.3">
      <c r="G436" s="6"/>
      <c r="AM436" s="39"/>
    </row>
    <row r="437" spans="7:39" s="4" customFormat="1" x14ac:dyDescent="0.3">
      <c r="G437" s="6"/>
      <c r="AM437" s="39"/>
    </row>
    <row r="438" spans="7:39" s="4" customFormat="1" x14ac:dyDescent="0.3">
      <c r="G438" s="6"/>
      <c r="AM438" s="39"/>
    </row>
    <row r="439" spans="7:39" s="4" customFormat="1" x14ac:dyDescent="0.3">
      <c r="G439" s="6"/>
      <c r="AM439" s="39"/>
    </row>
    <row r="440" spans="7:39" s="4" customFormat="1" x14ac:dyDescent="0.3">
      <c r="G440" s="6"/>
      <c r="AM440" s="39"/>
    </row>
    <row r="441" spans="7:39" s="4" customFormat="1" x14ac:dyDescent="0.3">
      <c r="G441" s="6"/>
      <c r="AM441" s="39"/>
    </row>
    <row r="442" spans="7:39" s="4" customFormat="1" x14ac:dyDescent="0.3">
      <c r="G442" s="6"/>
      <c r="AM442" s="39"/>
    </row>
    <row r="443" spans="7:39" s="4" customFormat="1" x14ac:dyDescent="0.3">
      <c r="G443" s="6"/>
      <c r="AM443" s="39"/>
    </row>
    <row r="444" spans="7:39" s="4" customFormat="1" x14ac:dyDescent="0.3">
      <c r="G444" s="6"/>
      <c r="AM444" s="39"/>
    </row>
    <row r="445" spans="7:39" s="4" customFormat="1" x14ac:dyDescent="0.3">
      <c r="G445" s="6"/>
      <c r="AM445" s="39"/>
    </row>
    <row r="446" spans="7:39" s="4" customFormat="1" x14ac:dyDescent="0.3">
      <c r="G446" s="6"/>
      <c r="AM446" s="39"/>
    </row>
    <row r="447" spans="7:39" s="4" customFormat="1" x14ac:dyDescent="0.3">
      <c r="G447" s="6"/>
      <c r="AM447" s="39"/>
    </row>
    <row r="448" spans="7:39" s="4" customFormat="1" x14ac:dyDescent="0.3">
      <c r="G448" s="6"/>
      <c r="AM448" s="39"/>
    </row>
    <row r="449" spans="7:39" s="4" customFormat="1" x14ac:dyDescent="0.3">
      <c r="G449" s="6"/>
      <c r="AM449" s="39"/>
    </row>
    <row r="450" spans="7:39" s="4" customFormat="1" x14ac:dyDescent="0.3">
      <c r="G450" s="6"/>
      <c r="AM450" s="39"/>
    </row>
    <row r="451" spans="7:39" s="4" customFormat="1" x14ac:dyDescent="0.3">
      <c r="G451" s="6"/>
      <c r="AM451" s="39"/>
    </row>
    <row r="452" spans="7:39" s="4" customFormat="1" x14ac:dyDescent="0.3">
      <c r="G452" s="6"/>
      <c r="AM452" s="39"/>
    </row>
    <row r="453" spans="7:39" s="4" customFormat="1" x14ac:dyDescent="0.3">
      <c r="G453" s="6"/>
      <c r="AM453" s="39"/>
    </row>
    <row r="454" spans="7:39" s="4" customFormat="1" x14ac:dyDescent="0.3">
      <c r="G454" s="6"/>
      <c r="AM454" s="39"/>
    </row>
    <row r="455" spans="7:39" s="4" customFormat="1" x14ac:dyDescent="0.3">
      <c r="G455" s="6"/>
      <c r="AM455" s="39"/>
    </row>
    <row r="456" spans="7:39" s="4" customFormat="1" x14ac:dyDescent="0.3">
      <c r="G456" s="6"/>
      <c r="AM456" s="39"/>
    </row>
    <row r="457" spans="7:39" s="4" customFormat="1" x14ac:dyDescent="0.3">
      <c r="G457" s="6"/>
      <c r="AM457" s="39"/>
    </row>
    <row r="458" spans="7:39" s="4" customFormat="1" x14ac:dyDescent="0.3">
      <c r="G458" s="6"/>
      <c r="AM458" s="39"/>
    </row>
    <row r="459" spans="7:39" s="4" customFormat="1" x14ac:dyDescent="0.3">
      <c r="G459" s="6"/>
      <c r="AM459" s="39"/>
    </row>
    <row r="460" spans="7:39" s="4" customFormat="1" x14ac:dyDescent="0.3">
      <c r="G460" s="6"/>
      <c r="AM460" s="39"/>
    </row>
    <row r="461" spans="7:39" s="4" customFormat="1" x14ac:dyDescent="0.3">
      <c r="G461" s="6"/>
      <c r="AM461" s="39"/>
    </row>
    <row r="462" spans="7:39" s="4" customFormat="1" x14ac:dyDescent="0.3">
      <c r="G462" s="6"/>
      <c r="AM462" s="39"/>
    </row>
    <row r="463" spans="7:39" s="4" customFormat="1" x14ac:dyDescent="0.3">
      <c r="G463" s="6"/>
      <c r="AM463" s="39"/>
    </row>
    <row r="464" spans="7:39" s="4" customFormat="1" x14ac:dyDescent="0.3">
      <c r="G464" s="6"/>
      <c r="AM464" s="39"/>
    </row>
    <row r="465" spans="7:39" s="4" customFormat="1" x14ac:dyDescent="0.3">
      <c r="G465" s="6"/>
      <c r="AM465" s="39"/>
    </row>
    <row r="466" spans="7:39" s="4" customFormat="1" x14ac:dyDescent="0.3">
      <c r="G466" s="6"/>
      <c r="AM466" s="39"/>
    </row>
    <row r="467" spans="7:39" s="4" customFormat="1" x14ac:dyDescent="0.3">
      <c r="G467" s="6"/>
      <c r="AM467" s="39"/>
    </row>
    <row r="468" spans="7:39" s="4" customFormat="1" x14ac:dyDescent="0.3">
      <c r="G468" s="6"/>
      <c r="AM468" s="39"/>
    </row>
    <row r="469" spans="7:39" s="4" customFormat="1" x14ac:dyDescent="0.3">
      <c r="G469" s="6"/>
      <c r="AM469" s="39"/>
    </row>
    <row r="470" spans="7:39" s="4" customFormat="1" x14ac:dyDescent="0.3">
      <c r="G470" s="6"/>
      <c r="AM470" s="39"/>
    </row>
    <row r="471" spans="7:39" s="4" customFormat="1" x14ac:dyDescent="0.3">
      <c r="G471" s="6"/>
      <c r="AM471" s="39"/>
    </row>
    <row r="472" spans="7:39" s="4" customFormat="1" x14ac:dyDescent="0.3">
      <c r="G472" s="6"/>
      <c r="AM472" s="39"/>
    </row>
    <row r="473" spans="7:39" s="4" customFormat="1" x14ac:dyDescent="0.3">
      <c r="G473" s="6"/>
      <c r="AM473" s="39"/>
    </row>
    <row r="474" spans="7:39" s="4" customFormat="1" x14ac:dyDescent="0.3">
      <c r="G474" s="6"/>
      <c r="AM474" s="39"/>
    </row>
    <row r="475" spans="7:39" s="4" customFormat="1" x14ac:dyDescent="0.3">
      <c r="G475" s="6"/>
      <c r="AM475" s="39"/>
    </row>
    <row r="476" spans="7:39" s="4" customFormat="1" x14ac:dyDescent="0.3">
      <c r="G476" s="6"/>
      <c r="AM476" s="39"/>
    </row>
    <row r="477" spans="7:39" s="4" customFormat="1" x14ac:dyDescent="0.3">
      <c r="G477" s="6"/>
      <c r="AM477" s="39"/>
    </row>
    <row r="478" spans="7:39" s="4" customFormat="1" x14ac:dyDescent="0.3">
      <c r="G478" s="6"/>
      <c r="AM478" s="39"/>
    </row>
    <row r="479" spans="7:39" s="4" customFormat="1" x14ac:dyDescent="0.3">
      <c r="G479" s="6"/>
      <c r="AM479" s="39"/>
    </row>
    <row r="480" spans="7:39" s="4" customFormat="1" x14ac:dyDescent="0.3">
      <c r="G480" s="6"/>
      <c r="AM480" s="39"/>
    </row>
    <row r="481" spans="7:39" s="4" customFormat="1" x14ac:dyDescent="0.3">
      <c r="G481" s="6"/>
      <c r="AM481" s="39"/>
    </row>
    <row r="482" spans="7:39" s="4" customFormat="1" x14ac:dyDescent="0.3">
      <c r="G482" s="6"/>
      <c r="AM482" s="39"/>
    </row>
    <row r="483" spans="7:39" s="4" customFormat="1" x14ac:dyDescent="0.3">
      <c r="G483" s="6"/>
      <c r="AM483" s="39"/>
    </row>
    <row r="484" spans="7:39" s="4" customFormat="1" x14ac:dyDescent="0.3">
      <c r="G484" s="6"/>
      <c r="AM484" s="39"/>
    </row>
    <row r="485" spans="7:39" s="4" customFormat="1" x14ac:dyDescent="0.3">
      <c r="G485" s="6"/>
      <c r="AM485" s="39"/>
    </row>
    <row r="486" spans="7:39" s="4" customFormat="1" x14ac:dyDescent="0.3">
      <c r="G486" s="6"/>
      <c r="AM486" s="39"/>
    </row>
    <row r="487" spans="7:39" s="4" customFormat="1" x14ac:dyDescent="0.3">
      <c r="G487" s="6"/>
      <c r="AM487" s="39"/>
    </row>
    <row r="488" spans="7:39" s="4" customFormat="1" x14ac:dyDescent="0.3">
      <c r="G488" s="6"/>
      <c r="AM488" s="39"/>
    </row>
    <row r="489" spans="7:39" s="4" customFormat="1" x14ac:dyDescent="0.3">
      <c r="G489" s="6"/>
      <c r="AM489" s="39"/>
    </row>
    <row r="490" spans="7:39" s="4" customFormat="1" x14ac:dyDescent="0.3">
      <c r="G490" s="6"/>
      <c r="AM490" s="39"/>
    </row>
    <row r="491" spans="7:39" s="4" customFormat="1" x14ac:dyDescent="0.3">
      <c r="G491" s="6"/>
      <c r="AM491" s="39"/>
    </row>
    <row r="492" spans="7:39" s="4" customFormat="1" x14ac:dyDescent="0.3">
      <c r="G492" s="6"/>
      <c r="AM492" s="39"/>
    </row>
    <row r="493" spans="7:39" s="4" customFormat="1" x14ac:dyDescent="0.3">
      <c r="G493" s="6"/>
      <c r="AM493" s="39"/>
    </row>
    <row r="494" spans="7:39" s="4" customFormat="1" x14ac:dyDescent="0.3">
      <c r="G494" s="6"/>
      <c r="AM494" s="39"/>
    </row>
    <row r="495" spans="7:39" s="4" customFormat="1" x14ac:dyDescent="0.3">
      <c r="G495" s="6"/>
      <c r="AM495" s="39"/>
    </row>
    <row r="496" spans="7:39" s="4" customFormat="1" x14ac:dyDescent="0.3">
      <c r="G496" s="6"/>
      <c r="AM496" s="39"/>
    </row>
    <row r="497" spans="7:39" s="4" customFormat="1" x14ac:dyDescent="0.3">
      <c r="G497" s="6"/>
      <c r="AM497" s="39"/>
    </row>
    <row r="498" spans="7:39" s="4" customFormat="1" x14ac:dyDescent="0.3">
      <c r="G498" s="6"/>
      <c r="AM498" s="39"/>
    </row>
    <row r="499" spans="7:39" s="4" customFormat="1" x14ac:dyDescent="0.3">
      <c r="G499" s="6"/>
      <c r="AM499" s="39"/>
    </row>
    <row r="500" spans="7:39" s="4" customFormat="1" x14ac:dyDescent="0.3">
      <c r="G500" s="6"/>
      <c r="AM500" s="39"/>
    </row>
    <row r="501" spans="7:39" s="4" customFormat="1" x14ac:dyDescent="0.3">
      <c r="G501" s="6"/>
      <c r="AM501" s="39"/>
    </row>
    <row r="502" spans="7:39" s="4" customFormat="1" x14ac:dyDescent="0.3">
      <c r="G502" s="6"/>
      <c r="AM502" s="39"/>
    </row>
    <row r="503" spans="7:39" s="4" customFormat="1" x14ac:dyDescent="0.3">
      <c r="G503" s="6"/>
      <c r="AM503" s="39"/>
    </row>
    <row r="504" spans="7:39" s="4" customFormat="1" x14ac:dyDescent="0.3">
      <c r="G504" s="6"/>
      <c r="AM504" s="39"/>
    </row>
    <row r="505" spans="7:39" s="4" customFormat="1" x14ac:dyDescent="0.3">
      <c r="G505" s="6"/>
      <c r="AM505" s="39"/>
    </row>
    <row r="506" spans="7:39" s="4" customFormat="1" x14ac:dyDescent="0.3">
      <c r="G506" s="6"/>
      <c r="AM506" s="39"/>
    </row>
    <row r="507" spans="7:39" s="4" customFormat="1" x14ac:dyDescent="0.3">
      <c r="G507" s="6"/>
      <c r="AM507" s="39"/>
    </row>
    <row r="508" spans="7:39" s="4" customFormat="1" x14ac:dyDescent="0.3">
      <c r="G508" s="6"/>
      <c r="AM508" s="39"/>
    </row>
    <row r="509" spans="7:39" s="4" customFormat="1" x14ac:dyDescent="0.3">
      <c r="G509" s="6"/>
      <c r="AM509" s="39"/>
    </row>
    <row r="510" spans="7:39" s="4" customFormat="1" x14ac:dyDescent="0.3">
      <c r="G510" s="6"/>
      <c r="AM510" s="39"/>
    </row>
    <row r="511" spans="7:39" s="4" customFormat="1" x14ac:dyDescent="0.3">
      <c r="G511" s="6"/>
      <c r="AM511" s="39"/>
    </row>
    <row r="512" spans="7:39" s="4" customFormat="1" x14ac:dyDescent="0.3">
      <c r="G512" s="6"/>
      <c r="AM512" s="39"/>
    </row>
    <row r="513" spans="7:39" s="4" customFormat="1" x14ac:dyDescent="0.3">
      <c r="G513" s="6"/>
      <c r="AM513" s="39"/>
    </row>
    <row r="514" spans="7:39" s="4" customFormat="1" x14ac:dyDescent="0.3">
      <c r="G514" s="6"/>
      <c r="AM514" s="39"/>
    </row>
    <row r="515" spans="7:39" s="4" customFormat="1" x14ac:dyDescent="0.3">
      <c r="G515" s="6"/>
      <c r="AM515" s="39"/>
    </row>
    <row r="516" spans="7:39" s="4" customFormat="1" x14ac:dyDescent="0.3">
      <c r="G516" s="6"/>
      <c r="AM516" s="39"/>
    </row>
    <row r="517" spans="7:39" s="4" customFormat="1" x14ac:dyDescent="0.3">
      <c r="G517" s="6"/>
      <c r="AM517" s="39"/>
    </row>
    <row r="518" spans="7:39" s="4" customFormat="1" x14ac:dyDescent="0.3">
      <c r="G518" s="6"/>
      <c r="AM518" s="39"/>
    </row>
    <row r="519" spans="7:39" s="4" customFormat="1" x14ac:dyDescent="0.3">
      <c r="G519" s="6"/>
      <c r="AM519" s="39"/>
    </row>
    <row r="520" spans="7:39" s="4" customFormat="1" x14ac:dyDescent="0.3">
      <c r="G520" s="6"/>
      <c r="AM520" s="39"/>
    </row>
    <row r="521" spans="7:39" s="4" customFormat="1" x14ac:dyDescent="0.3">
      <c r="G521" s="6"/>
      <c r="AM521" s="39"/>
    </row>
    <row r="522" spans="7:39" s="4" customFormat="1" x14ac:dyDescent="0.3">
      <c r="G522" s="6"/>
      <c r="AM522" s="39"/>
    </row>
    <row r="523" spans="7:39" s="4" customFormat="1" x14ac:dyDescent="0.3">
      <c r="G523" s="6"/>
      <c r="AM523" s="39"/>
    </row>
    <row r="524" spans="7:39" s="4" customFormat="1" x14ac:dyDescent="0.3">
      <c r="G524" s="6"/>
      <c r="AM524" s="39"/>
    </row>
    <row r="525" spans="7:39" s="4" customFormat="1" x14ac:dyDescent="0.3">
      <c r="G525" s="6"/>
      <c r="AM525" s="39"/>
    </row>
    <row r="526" spans="7:39" s="4" customFormat="1" x14ac:dyDescent="0.3">
      <c r="G526" s="6"/>
      <c r="AM526" s="39"/>
    </row>
    <row r="527" spans="7:39" s="4" customFormat="1" x14ac:dyDescent="0.3">
      <c r="G527" s="6"/>
      <c r="AM527" s="39"/>
    </row>
    <row r="528" spans="7:39" s="4" customFormat="1" x14ac:dyDescent="0.3">
      <c r="G528" s="6"/>
      <c r="AM528" s="39"/>
    </row>
    <row r="529" spans="7:39" s="4" customFormat="1" x14ac:dyDescent="0.3">
      <c r="G529" s="6"/>
      <c r="AM529" s="39"/>
    </row>
    <row r="530" spans="7:39" s="4" customFormat="1" x14ac:dyDescent="0.3">
      <c r="G530" s="6"/>
      <c r="AM530" s="39"/>
    </row>
    <row r="531" spans="7:39" s="4" customFormat="1" x14ac:dyDescent="0.3">
      <c r="G531" s="6"/>
      <c r="AM531" s="39"/>
    </row>
    <row r="532" spans="7:39" s="4" customFormat="1" x14ac:dyDescent="0.3">
      <c r="G532" s="6"/>
      <c r="AM532" s="39"/>
    </row>
    <row r="533" spans="7:39" s="4" customFormat="1" x14ac:dyDescent="0.3">
      <c r="G533" s="6"/>
      <c r="AM533" s="39"/>
    </row>
    <row r="534" spans="7:39" s="4" customFormat="1" x14ac:dyDescent="0.3">
      <c r="G534" s="6"/>
      <c r="AM534" s="39"/>
    </row>
    <row r="535" spans="7:39" s="4" customFormat="1" x14ac:dyDescent="0.3">
      <c r="G535" s="6"/>
      <c r="AM535" s="39"/>
    </row>
    <row r="536" spans="7:39" s="4" customFormat="1" x14ac:dyDescent="0.3">
      <c r="G536" s="6"/>
      <c r="AM536" s="39"/>
    </row>
    <row r="537" spans="7:39" s="4" customFormat="1" x14ac:dyDescent="0.3">
      <c r="G537" s="6"/>
      <c r="AM537" s="39"/>
    </row>
    <row r="538" spans="7:39" s="4" customFormat="1" x14ac:dyDescent="0.3">
      <c r="G538" s="6"/>
      <c r="AM538" s="39"/>
    </row>
    <row r="539" spans="7:39" s="4" customFormat="1" x14ac:dyDescent="0.3">
      <c r="G539" s="6"/>
      <c r="AM539" s="39"/>
    </row>
    <row r="540" spans="7:39" s="4" customFormat="1" x14ac:dyDescent="0.3">
      <c r="G540" s="6"/>
      <c r="AM540" s="39"/>
    </row>
    <row r="541" spans="7:39" s="4" customFormat="1" x14ac:dyDescent="0.3">
      <c r="G541" s="6"/>
      <c r="AM541" s="39"/>
    </row>
    <row r="542" spans="7:39" s="4" customFormat="1" x14ac:dyDescent="0.3">
      <c r="G542" s="6"/>
      <c r="AM542" s="39"/>
    </row>
    <row r="543" spans="7:39" s="4" customFormat="1" x14ac:dyDescent="0.3">
      <c r="G543" s="6"/>
      <c r="AM543" s="39"/>
    </row>
    <row r="544" spans="7:39" s="4" customFormat="1" x14ac:dyDescent="0.3">
      <c r="G544" s="6"/>
      <c r="AM544" s="39"/>
    </row>
    <row r="545" spans="7:39" s="4" customFormat="1" x14ac:dyDescent="0.3">
      <c r="G545" s="6"/>
      <c r="AM545" s="39"/>
    </row>
    <row r="546" spans="7:39" s="4" customFormat="1" x14ac:dyDescent="0.3">
      <c r="G546" s="6"/>
      <c r="AM546" s="39"/>
    </row>
    <row r="547" spans="7:39" s="4" customFormat="1" x14ac:dyDescent="0.3">
      <c r="G547" s="6"/>
      <c r="AM547" s="39"/>
    </row>
    <row r="548" spans="7:39" s="4" customFormat="1" x14ac:dyDescent="0.3">
      <c r="G548" s="6"/>
      <c r="AM548" s="39"/>
    </row>
    <row r="549" spans="7:39" s="4" customFormat="1" x14ac:dyDescent="0.3">
      <c r="G549" s="6"/>
      <c r="AM549" s="39"/>
    </row>
    <row r="550" spans="7:39" s="4" customFormat="1" x14ac:dyDescent="0.3">
      <c r="G550" s="6"/>
      <c r="AM550" s="39"/>
    </row>
    <row r="551" spans="7:39" s="4" customFormat="1" x14ac:dyDescent="0.3">
      <c r="G551" s="6"/>
      <c r="AM551" s="39"/>
    </row>
    <row r="552" spans="7:39" s="4" customFormat="1" x14ac:dyDescent="0.3">
      <c r="G552" s="6"/>
      <c r="AM552" s="39"/>
    </row>
    <row r="553" spans="7:39" s="4" customFormat="1" x14ac:dyDescent="0.3">
      <c r="G553" s="6"/>
      <c r="AM553" s="39"/>
    </row>
    <row r="554" spans="7:39" s="4" customFormat="1" x14ac:dyDescent="0.3">
      <c r="G554" s="6"/>
      <c r="AM554" s="39"/>
    </row>
    <row r="555" spans="7:39" s="4" customFormat="1" x14ac:dyDescent="0.3">
      <c r="G555" s="6"/>
      <c r="AM555" s="39"/>
    </row>
    <row r="556" spans="7:39" s="4" customFormat="1" x14ac:dyDescent="0.3">
      <c r="G556" s="6"/>
      <c r="AM556" s="39"/>
    </row>
    <row r="557" spans="7:39" s="4" customFormat="1" x14ac:dyDescent="0.3">
      <c r="G557" s="6"/>
      <c r="AM557" s="39"/>
    </row>
    <row r="558" spans="7:39" s="4" customFormat="1" x14ac:dyDescent="0.3">
      <c r="G558" s="6"/>
      <c r="AM558" s="39"/>
    </row>
    <row r="559" spans="7:39" s="4" customFormat="1" x14ac:dyDescent="0.3">
      <c r="G559" s="6"/>
      <c r="AM559" s="39"/>
    </row>
    <row r="560" spans="7:39" s="4" customFormat="1" x14ac:dyDescent="0.3">
      <c r="G560" s="6"/>
      <c r="AM560" s="39"/>
    </row>
    <row r="561" spans="7:39" s="4" customFormat="1" x14ac:dyDescent="0.3">
      <c r="G561" s="6"/>
      <c r="AM561" s="39"/>
    </row>
    <row r="562" spans="7:39" s="4" customFormat="1" x14ac:dyDescent="0.3">
      <c r="G562" s="6"/>
      <c r="AM562" s="39"/>
    </row>
    <row r="563" spans="7:39" s="4" customFormat="1" x14ac:dyDescent="0.3">
      <c r="G563" s="6"/>
      <c r="AM563" s="39"/>
    </row>
    <row r="564" spans="7:39" s="4" customFormat="1" x14ac:dyDescent="0.3">
      <c r="G564" s="6"/>
      <c r="AM564" s="39"/>
    </row>
    <row r="565" spans="7:39" s="4" customFormat="1" x14ac:dyDescent="0.3">
      <c r="G565" s="6"/>
      <c r="AM565" s="39"/>
    </row>
    <row r="566" spans="7:39" s="4" customFormat="1" x14ac:dyDescent="0.3">
      <c r="G566" s="6"/>
      <c r="AM566" s="39"/>
    </row>
    <row r="567" spans="7:39" s="4" customFormat="1" x14ac:dyDescent="0.3">
      <c r="G567" s="6"/>
      <c r="AM567" s="39"/>
    </row>
    <row r="568" spans="7:39" s="4" customFormat="1" x14ac:dyDescent="0.3">
      <c r="G568" s="6"/>
      <c r="AM568" s="39"/>
    </row>
    <row r="569" spans="7:39" s="4" customFormat="1" x14ac:dyDescent="0.3">
      <c r="G569" s="6"/>
      <c r="AM569" s="39"/>
    </row>
    <row r="570" spans="7:39" s="4" customFormat="1" x14ac:dyDescent="0.3">
      <c r="G570" s="6"/>
      <c r="AM570" s="39"/>
    </row>
    <row r="571" spans="7:39" s="4" customFormat="1" x14ac:dyDescent="0.3">
      <c r="G571" s="6"/>
      <c r="AM571" s="39"/>
    </row>
    <row r="572" spans="7:39" s="4" customFormat="1" x14ac:dyDescent="0.3">
      <c r="G572" s="6"/>
      <c r="AM572" s="39"/>
    </row>
    <row r="573" spans="7:39" s="4" customFormat="1" x14ac:dyDescent="0.3">
      <c r="G573" s="6"/>
      <c r="AM573" s="39"/>
    </row>
    <row r="574" spans="7:39" s="4" customFormat="1" x14ac:dyDescent="0.3">
      <c r="G574" s="6"/>
      <c r="AM574" s="39"/>
    </row>
    <row r="575" spans="7:39" s="4" customFormat="1" x14ac:dyDescent="0.3">
      <c r="G575" s="6"/>
      <c r="AM575" s="39"/>
    </row>
    <row r="576" spans="7:39" s="4" customFormat="1" x14ac:dyDescent="0.3">
      <c r="G576" s="6"/>
      <c r="AM576" s="39"/>
    </row>
    <row r="577" spans="7:39" s="4" customFormat="1" x14ac:dyDescent="0.3">
      <c r="G577" s="6"/>
      <c r="AM577" s="39"/>
    </row>
    <row r="578" spans="7:39" s="4" customFormat="1" x14ac:dyDescent="0.3">
      <c r="G578" s="6"/>
      <c r="AM578" s="39"/>
    </row>
    <row r="579" spans="7:39" s="4" customFormat="1" x14ac:dyDescent="0.3">
      <c r="G579" s="6"/>
      <c r="AM579" s="39"/>
    </row>
    <row r="580" spans="7:39" s="4" customFormat="1" x14ac:dyDescent="0.3">
      <c r="G580" s="6"/>
      <c r="AM580" s="39"/>
    </row>
    <row r="581" spans="7:39" s="4" customFormat="1" x14ac:dyDescent="0.3">
      <c r="G581" s="6"/>
      <c r="AM581" s="39"/>
    </row>
    <row r="582" spans="7:39" s="4" customFormat="1" x14ac:dyDescent="0.3">
      <c r="G582" s="6"/>
      <c r="AM582" s="39"/>
    </row>
    <row r="583" spans="7:39" s="4" customFormat="1" x14ac:dyDescent="0.3">
      <c r="G583" s="6"/>
      <c r="AM583" s="39"/>
    </row>
    <row r="584" spans="7:39" s="4" customFormat="1" x14ac:dyDescent="0.3">
      <c r="G584" s="6"/>
      <c r="AM584" s="39"/>
    </row>
    <row r="585" spans="7:39" s="4" customFormat="1" x14ac:dyDescent="0.3">
      <c r="G585" s="6"/>
      <c r="AM585" s="39"/>
    </row>
    <row r="586" spans="7:39" s="4" customFormat="1" x14ac:dyDescent="0.3">
      <c r="G586" s="6"/>
      <c r="AM586" s="39"/>
    </row>
    <row r="587" spans="7:39" s="4" customFormat="1" x14ac:dyDescent="0.3">
      <c r="G587" s="6"/>
      <c r="AM587" s="39"/>
    </row>
    <row r="588" spans="7:39" s="4" customFormat="1" x14ac:dyDescent="0.3">
      <c r="G588" s="6"/>
      <c r="AM588" s="39"/>
    </row>
    <row r="589" spans="7:39" s="4" customFormat="1" x14ac:dyDescent="0.3">
      <c r="G589" s="6"/>
      <c r="AM589" s="39"/>
    </row>
    <row r="590" spans="7:39" s="4" customFormat="1" x14ac:dyDescent="0.3">
      <c r="G590" s="6"/>
      <c r="AM590" s="39"/>
    </row>
    <row r="591" spans="7:39" s="4" customFormat="1" x14ac:dyDescent="0.3">
      <c r="G591" s="6"/>
      <c r="AM591" s="39"/>
    </row>
    <row r="592" spans="7:39" s="4" customFormat="1" x14ac:dyDescent="0.3">
      <c r="G592" s="6"/>
      <c r="AM592" s="39"/>
    </row>
    <row r="593" spans="7:39" s="4" customFormat="1" x14ac:dyDescent="0.3">
      <c r="G593" s="6"/>
      <c r="AM593" s="39"/>
    </row>
    <row r="594" spans="7:39" s="4" customFormat="1" x14ac:dyDescent="0.3">
      <c r="G594" s="6"/>
      <c r="AM594" s="39"/>
    </row>
    <row r="595" spans="7:39" s="4" customFormat="1" x14ac:dyDescent="0.3">
      <c r="G595" s="6"/>
      <c r="AM595" s="39"/>
    </row>
    <row r="596" spans="7:39" s="4" customFormat="1" x14ac:dyDescent="0.3">
      <c r="G596" s="6"/>
      <c r="AM596" s="39"/>
    </row>
    <row r="597" spans="7:39" s="4" customFormat="1" x14ac:dyDescent="0.3">
      <c r="G597" s="6"/>
      <c r="AM597" s="39"/>
    </row>
    <row r="598" spans="7:39" s="4" customFormat="1" x14ac:dyDescent="0.3">
      <c r="G598" s="6"/>
      <c r="AM598" s="39"/>
    </row>
    <row r="599" spans="7:39" s="4" customFormat="1" x14ac:dyDescent="0.3">
      <c r="G599" s="6"/>
      <c r="AM599" s="39"/>
    </row>
    <row r="600" spans="7:39" s="4" customFormat="1" x14ac:dyDescent="0.3">
      <c r="G600" s="6"/>
      <c r="AM600" s="39"/>
    </row>
    <row r="601" spans="7:39" s="4" customFormat="1" x14ac:dyDescent="0.3">
      <c r="G601" s="6"/>
      <c r="AM601" s="39"/>
    </row>
    <row r="602" spans="7:39" s="4" customFormat="1" x14ac:dyDescent="0.3">
      <c r="G602" s="6"/>
      <c r="AM602" s="39"/>
    </row>
    <row r="603" spans="7:39" s="4" customFormat="1" x14ac:dyDescent="0.3">
      <c r="G603" s="6"/>
      <c r="AM603" s="39"/>
    </row>
    <row r="604" spans="7:39" s="4" customFormat="1" x14ac:dyDescent="0.3">
      <c r="G604" s="6"/>
      <c r="AM604" s="39"/>
    </row>
    <row r="605" spans="7:39" s="4" customFormat="1" x14ac:dyDescent="0.3">
      <c r="G605" s="6"/>
      <c r="AM605" s="39"/>
    </row>
    <row r="606" spans="7:39" s="4" customFormat="1" x14ac:dyDescent="0.3">
      <c r="G606" s="6"/>
      <c r="AM606" s="39"/>
    </row>
    <row r="607" spans="7:39" s="4" customFormat="1" x14ac:dyDescent="0.3">
      <c r="G607" s="6"/>
      <c r="AM607" s="39"/>
    </row>
    <row r="608" spans="7:39" s="4" customFormat="1" x14ac:dyDescent="0.3">
      <c r="G608" s="6"/>
      <c r="AM608" s="39"/>
    </row>
    <row r="609" spans="7:39" s="4" customFormat="1" x14ac:dyDescent="0.3">
      <c r="G609" s="6"/>
      <c r="AM609" s="39"/>
    </row>
    <row r="610" spans="7:39" s="4" customFormat="1" x14ac:dyDescent="0.3">
      <c r="G610" s="6"/>
      <c r="AM610" s="39"/>
    </row>
    <row r="611" spans="7:39" s="4" customFormat="1" x14ac:dyDescent="0.3">
      <c r="G611" s="6"/>
      <c r="AM611" s="39"/>
    </row>
    <row r="612" spans="7:39" s="4" customFormat="1" x14ac:dyDescent="0.3">
      <c r="G612" s="6"/>
      <c r="AM612" s="39"/>
    </row>
    <row r="613" spans="7:39" s="4" customFormat="1" x14ac:dyDescent="0.3">
      <c r="G613" s="6"/>
      <c r="AM613" s="39"/>
    </row>
    <row r="614" spans="7:39" s="4" customFormat="1" x14ac:dyDescent="0.3">
      <c r="G614" s="6"/>
      <c r="AM614" s="39"/>
    </row>
    <row r="615" spans="7:39" s="4" customFormat="1" x14ac:dyDescent="0.3">
      <c r="G615" s="6"/>
      <c r="AM615" s="39"/>
    </row>
    <row r="616" spans="7:39" s="4" customFormat="1" x14ac:dyDescent="0.3">
      <c r="G616" s="6"/>
      <c r="AM616" s="39"/>
    </row>
    <row r="617" spans="7:39" s="4" customFormat="1" x14ac:dyDescent="0.3">
      <c r="G617" s="6"/>
      <c r="AM617" s="39"/>
    </row>
    <row r="618" spans="7:39" s="4" customFormat="1" x14ac:dyDescent="0.3">
      <c r="G618" s="6"/>
      <c r="AM618" s="39"/>
    </row>
    <row r="619" spans="7:39" s="4" customFormat="1" x14ac:dyDescent="0.3">
      <c r="G619" s="6"/>
      <c r="AM619" s="39"/>
    </row>
    <row r="620" spans="7:39" s="4" customFormat="1" x14ac:dyDescent="0.3">
      <c r="G620" s="6"/>
      <c r="AM620" s="39"/>
    </row>
    <row r="621" spans="7:39" s="4" customFormat="1" x14ac:dyDescent="0.3">
      <c r="G621" s="6"/>
      <c r="AM621" s="39"/>
    </row>
    <row r="622" spans="7:39" s="4" customFormat="1" x14ac:dyDescent="0.3">
      <c r="G622" s="6"/>
      <c r="AM622" s="39"/>
    </row>
    <row r="623" spans="7:39" s="4" customFormat="1" x14ac:dyDescent="0.3">
      <c r="G623" s="6"/>
      <c r="AM623" s="39"/>
    </row>
    <row r="624" spans="7:39" s="4" customFormat="1" x14ac:dyDescent="0.3">
      <c r="G624" s="6"/>
      <c r="AM624" s="39"/>
    </row>
    <row r="625" spans="7:39" s="4" customFormat="1" x14ac:dyDescent="0.3">
      <c r="G625" s="6"/>
      <c r="AM625" s="39"/>
    </row>
    <row r="626" spans="7:39" s="4" customFormat="1" x14ac:dyDescent="0.3">
      <c r="G626" s="6"/>
      <c r="AM626" s="39"/>
    </row>
    <row r="627" spans="7:39" s="4" customFormat="1" x14ac:dyDescent="0.3">
      <c r="G627" s="6"/>
      <c r="AM627" s="39"/>
    </row>
    <row r="628" spans="7:39" s="4" customFormat="1" x14ac:dyDescent="0.3">
      <c r="G628" s="6"/>
      <c r="AM628" s="39"/>
    </row>
    <row r="629" spans="7:39" s="4" customFormat="1" x14ac:dyDescent="0.3">
      <c r="G629" s="6"/>
      <c r="AM629" s="39"/>
    </row>
    <row r="630" spans="7:39" s="4" customFormat="1" x14ac:dyDescent="0.3">
      <c r="G630" s="6"/>
      <c r="AM630" s="39"/>
    </row>
    <row r="631" spans="7:39" s="4" customFormat="1" x14ac:dyDescent="0.3">
      <c r="G631" s="6"/>
      <c r="AM631" s="39"/>
    </row>
    <row r="632" spans="7:39" s="4" customFormat="1" x14ac:dyDescent="0.3">
      <c r="G632" s="6"/>
      <c r="AM632" s="39"/>
    </row>
    <row r="633" spans="7:39" s="4" customFormat="1" x14ac:dyDescent="0.3">
      <c r="G633" s="6"/>
      <c r="AM633" s="39"/>
    </row>
    <row r="634" spans="7:39" s="4" customFormat="1" x14ac:dyDescent="0.3">
      <c r="G634" s="6"/>
      <c r="AM634" s="39"/>
    </row>
    <row r="635" spans="7:39" s="4" customFormat="1" x14ac:dyDescent="0.3">
      <c r="G635" s="6"/>
      <c r="AM635" s="39"/>
    </row>
    <row r="636" spans="7:39" s="4" customFormat="1" x14ac:dyDescent="0.3">
      <c r="G636" s="6"/>
      <c r="AM636" s="39"/>
    </row>
    <row r="637" spans="7:39" s="4" customFormat="1" x14ac:dyDescent="0.3">
      <c r="G637" s="6"/>
      <c r="AM637" s="39"/>
    </row>
    <row r="638" spans="7:39" s="4" customFormat="1" x14ac:dyDescent="0.3">
      <c r="G638" s="6"/>
      <c r="AM638" s="39"/>
    </row>
    <row r="639" spans="7:39" s="4" customFormat="1" x14ac:dyDescent="0.3">
      <c r="G639" s="6"/>
      <c r="AM639" s="39"/>
    </row>
    <row r="640" spans="7:39" s="4" customFormat="1" x14ac:dyDescent="0.3">
      <c r="G640" s="6"/>
      <c r="AM640" s="39"/>
    </row>
    <row r="641" spans="7:39" s="4" customFormat="1" x14ac:dyDescent="0.3">
      <c r="G641" s="6"/>
      <c r="AM641" s="39"/>
    </row>
    <row r="642" spans="7:39" s="4" customFormat="1" x14ac:dyDescent="0.3">
      <c r="G642" s="6"/>
      <c r="AM642" s="39"/>
    </row>
    <row r="643" spans="7:39" s="4" customFormat="1" x14ac:dyDescent="0.3">
      <c r="G643" s="6"/>
      <c r="AM643" s="39"/>
    </row>
    <row r="644" spans="7:39" s="4" customFormat="1" x14ac:dyDescent="0.3">
      <c r="G644" s="6"/>
      <c r="AM644" s="39"/>
    </row>
    <row r="645" spans="7:39" s="4" customFormat="1" x14ac:dyDescent="0.3">
      <c r="G645" s="6"/>
      <c r="AM645" s="39"/>
    </row>
    <row r="646" spans="7:39" s="4" customFormat="1" x14ac:dyDescent="0.3">
      <c r="G646" s="6"/>
      <c r="AM646" s="39"/>
    </row>
    <row r="647" spans="7:39" s="4" customFormat="1" x14ac:dyDescent="0.3">
      <c r="G647" s="6"/>
      <c r="AM647" s="39"/>
    </row>
    <row r="648" spans="7:39" s="4" customFormat="1" x14ac:dyDescent="0.3">
      <c r="G648" s="6"/>
      <c r="AM648" s="39"/>
    </row>
    <row r="649" spans="7:39" s="4" customFormat="1" x14ac:dyDescent="0.3">
      <c r="G649" s="6"/>
      <c r="AM649" s="39"/>
    </row>
    <row r="650" spans="7:39" s="4" customFormat="1" x14ac:dyDescent="0.3">
      <c r="G650" s="6"/>
      <c r="AM650" s="39"/>
    </row>
    <row r="651" spans="7:39" s="4" customFormat="1" x14ac:dyDescent="0.3">
      <c r="G651" s="6"/>
      <c r="AM651" s="39"/>
    </row>
    <row r="652" spans="7:39" s="4" customFormat="1" x14ac:dyDescent="0.3">
      <c r="G652" s="6"/>
      <c r="AM652" s="39"/>
    </row>
    <row r="653" spans="7:39" s="4" customFormat="1" x14ac:dyDescent="0.3">
      <c r="G653" s="6"/>
      <c r="AM653" s="39"/>
    </row>
    <row r="654" spans="7:39" s="4" customFormat="1" x14ac:dyDescent="0.3">
      <c r="G654" s="6"/>
      <c r="AM654" s="39"/>
    </row>
    <row r="655" spans="7:39" s="4" customFormat="1" x14ac:dyDescent="0.3">
      <c r="G655" s="6"/>
      <c r="AM655" s="39"/>
    </row>
    <row r="656" spans="7:39" s="4" customFormat="1" x14ac:dyDescent="0.3">
      <c r="G656" s="6"/>
      <c r="AM656" s="39"/>
    </row>
    <row r="657" spans="7:39" s="4" customFormat="1" x14ac:dyDescent="0.3">
      <c r="G657" s="6"/>
      <c r="AM657" s="39"/>
    </row>
    <row r="658" spans="7:39" s="4" customFormat="1" x14ac:dyDescent="0.3">
      <c r="G658" s="6"/>
      <c r="AM658" s="39"/>
    </row>
    <row r="659" spans="7:39" s="4" customFormat="1" x14ac:dyDescent="0.3">
      <c r="G659" s="6"/>
      <c r="AM659" s="39"/>
    </row>
    <row r="660" spans="7:39" s="4" customFormat="1" x14ac:dyDescent="0.3">
      <c r="G660" s="6"/>
      <c r="AM660" s="39"/>
    </row>
    <row r="661" spans="7:39" s="4" customFormat="1" x14ac:dyDescent="0.3">
      <c r="G661" s="6"/>
      <c r="AM661" s="39"/>
    </row>
    <row r="662" spans="7:39" s="4" customFormat="1" x14ac:dyDescent="0.3">
      <c r="G662" s="6"/>
      <c r="AM662" s="39"/>
    </row>
    <row r="663" spans="7:39" s="4" customFormat="1" x14ac:dyDescent="0.3">
      <c r="G663" s="6"/>
      <c r="AM663" s="39"/>
    </row>
    <row r="664" spans="7:39" s="4" customFormat="1" x14ac:dyDescent="0.3">
      <c r="G664" s="6"/>
      <c r="AM664" s="39"/>
    </row>
    <row r="665" spans="7:39" s="4" customFormat="1" x14ac:dyDescent="0.3">
      <c r="G665" s="6"/>
      <c r="AM665" s="39"/>
    </row>
    <row r="666" spans="7:39" s="4" customFormat="1" x14ac:dyDescent="0.3">
      <c r="G666" s="6"/>
      <c r="AM666" s="39"/>
    </row>
    <row r="667" spans="7:39" s="4" customFormat="1" x14ac:dyDescent="0.3">
      <c r="G667" s="6"/>
      <c r="AM667" s="39"/>
    </row>
    <row r="668" spans="7:39" s="4" customFormat="1" x14ac:dyDescent="0.3">
      <c r="G668" s="6"/>
      <c r="AM668" s="39"/>
    </row>
    <row r="669" spans="7:39" s="4" customFormat="1" x14ac:dyDescent="0.3">
      <c r="G669" s="6"/>
      <c r="AM669" s="39"/>
    </row>
    <row r="670" spans="7:39" s="4" customFormat="1" x14ac:dyDescent="0.3">
      <c r="G670" s="6"/>
      <c r="AM670" s="39"/>
    </row>
    <row r="671" spans="7:39" s="4" customFormat="1" x14ac:dyDescent="0.3">
      <c r="G671" s="6"/>
      <c r="AM671" s="39"/>
    </row>
    <row r="672" spans="7:39" s="4" customFormat="1" x14ac:dyDescent="0.3">
      <c r="G672" s="6"/>
      <c r="AM672" s="39"/>
    </row>
    <row r="673" spans="7:39" s="4" customFormat="1" x14ac:dyDescent="0.3">
      <c r="G673" s="6"/>
      <c r="AM673" s="39"/>
    </row>
    <row r="674" spans="7:39" s="4" customFormat="1" x14ac:dyDescent="0.3">
      <c r="G674" s="6"/>
      <c r="AM674" s="39"/>
    </row>
    <row r="675" spans="7:39" s="4" customFormat="1" x14ac:dyDescent="0.3">
      <c r="G675" s="6"/>
      <c r="AM675" s="39"/>
    </row>
    <row r="676" spans="7:39" s="4" customFormat="1" x14ac:dyDescent="0.3">
      <c r="G676" s="6"/>
      <c r="AM676" s="39"/>
    </row>
    <row r="677" spans="7:39" s="4" customFormat="1" x14ac:dyDescent="0.3">
      <c r="G677" s="6"/>
      <c r="AM677" s="39"/>
    </row>
    <row r="678" spans="7:39" s="4" customFormat="1" x14ac:dyDescent="0.3">
      <c r="G678" s="6"/>
      <c r="AM678" s="39"/>
    </row>
    <row r="679" spans="7:39" s="4" customFormat="1" x14ac:dyDescent="0.3">
      <c r="G679" s="6"/>
      <c r="AM679" s="39"/>
    </row>
    <row r="680" spans="7:39" s="4" customFormat="1" x14ac:dyDescent="0.3">
      <c r="G680" s="6"/>
      <c r="AM680" s="39"/>
    </row>
    <row r="681" spans="7:39" s="4" customFormat="1" x14ac:dyDescent="0.3">
      <c r="G681" s="6"/>
      <c r="AM681" s="39"/>
    </row>
    <row r="682" spans="7:39" s="4" customFormat="1" x14ac:dyDescent="0.3">
      <c r="G682" s="6"/>
      <c r="AM682" s="39"/>
    </row>
    <row r="683" spans="7:39" s="4" customFormat="1" x14ac:dyDescent="0.3">
      <c r="G683" s="6"/>
      <c r="AM683" s="39"/>
    </row>
    <row r="684" spans="7:39" s="4" customFormat="1" x14ac:dyDescent="0.3">
      <c r="G684" s="6"/>
      <c r="AM684" s="39"/>
    </row>
    <row r="685" spans="7:39" s="4" customFormat="1" x14ac:dyDescent="0.3">
      <c r="G685" s="6"/>
      <c r="AM685" s="39"/>
    </row>
    <row r="686" spans="7:39" s="4" customFormat="1" x14ac:dyDescent="0.3">
      <c r="G686" s="6"/>
      <c r="AM686" s="39"/>
    </row>
    <row r="687" spans="7:39" s="4" customFormat="1" x14ac:dyDescent="0.3">
      <c r="G687" s="6"/>
      <c r="AM687" s="39"/>
    </row>
    <row r="688" spans="7:39" s="4" customFormat="1" x14ac:dyDescent="0.3">
      <c r="G688" s="6"/>
      <c r="AM688" s="39"/>
    </row>
    <row r="689" spans="7:39" s="4" customFormat="1" x14ac:dyDescent="0.3">
      <c r="G689" s="6"/>
      <c r="AM689" s="39"/>
    </row>
    <row r="690" spans="7:39" s="4" customFormat="1" x14ac:dyDescent="0.3">
      <c r="G690" s="6"/>
      <c r="AM690" s="39"/>
    </row>
    <row r="691" spans="7:39" s="4" customFormat="1" x14ac:dyDescent="0.3">
      <c r="G691" s="6"/>
      <c r="AM691" s="39"/>
    </row>
    <row r="692" spans="7:39" s="4" customFormat="1" x14ac:dyDescent="0.3">
      <c r="G692" s="6"/>
      <c r="AM692" s="39"/>
    </row>
    <row r="693" spans="7:39" s="4" customFormat="1" x14ac:dyDescent="0.3">
      <c r="G693" s="6"/>
      <c r="AM693" s="39"/>
    </row>
    <row r="694" spans="7:39" s="4" customFormat="1" x14ac:dyDescent="0.3">
      <c r="G694" s="6"/>
      <c r="AM694" s="39"/>
    </row>
    <row r="695" spans="7:39" s="4" customFormat="1" x14ac:dyDescent="0.3">
      <c r="G695" s="6"/>
      <c r="AM695" s="39"/>
    </row>
    <row r="696" spans="7:39" s="4" customFormat="1" x14ac:dyDescent="0.3">
      <c r="G696" s="6"/>
      <c r="AM696" s="39"/>
    </row>
    <row r="697" spans="7:39" s="4" customFormat="1" x14ac:dyDescent="0.3">
      <c r="G697" s="6"/>
      <c r="AM697" s="39"/>
    </row>
    <row r="698" spans="7:39" s="4" customFormat="1" x14ac:dyDescent="0.3">
      <c r="G698" s="6"/>
      <c r="AM698" s="39"/>
    </row>
    <row r="699" spans="7:39" s="4" customFormat="1" x14ac:dyDescent="0.3">
      <c r="G699" s="6"/>
      <c r="AM699" s="39"/>
    </row>
    <row r="700" spans="7:39" s="4" customFormat="1" x14ac:dyDescent="0.3">
      <c r="G700" s="6"/>
      <c r="AM700" s="39"/>
    </row>
    <row r="701" spans="7:39" s="4" customFormat="1" x14ac:dyDescent="0.3">
      <c r="G701" s="6"/>
      <c r="AM701" s="39"/>
    </row>
    <row r="702" spans="7:39" s="4" customFormat="1" x14ac:dyDescent="0.3">
      <c r="G702" s="6"/>
      <c r="AM702" s="39"/>
    </row>
    <row r="703" spans="7:39" s="4" customFormat="1" x14ac:dyDescent="0.3">
      <c r="G703" s="6"/>
      <c r="AM703" s="39"/>
    </row>
    <row r="704" spans="7:39" s="4" customFormat="1" x14ac:dyDescent="0.3">
      <c r="G704" s="6"/>
      <c r="AM704" s="39"/>
    </row>
    <row r="705" spans="7:39" s="4" customFormat="1" x14ac:dyDescent="0.3">
      <c r="G705" s="6"/>
      <c r="AM705" s="39"/>
    </row>
    <row r="706" spans="7:39" s="4" customFormat="1" x14ac:dyDescent="0.3">
      <c r="G706" s="6"/>
      <c r="AM706" s="39"/>
    </row>
    <row r="707" spans="7:39" s="4" customFormat="1" x14ac:dyDescent="0.3">
      <c r="G707" s="6"/>
      <c r="AM707" s="39"/>
    </row>
    <row r="708" spans="7:39" s="4" customFormat="1" x14ac:dyDescent="0.3">
      <c r="G708" s="6"/>
      <c r="AM708" s="39"/>
    </row>
    <row r="709" spans="7:39" s="4" customFormat="1" x14ac:dyDescent="0.3">
      <c r="G709" s="6"/>
      <c r="AM709" s="39"/>
    </row>
    <row r="710" spans="7:39" s="4" customFormat="1" x14ac:dyDescent="0.3">
      <c r="G710" s="6"/>
      <c r="AM710" s="39"/>
    </row>
    <row r="711" spans="7:39" s="4" customFormat="1" x14ac:dyDescent="0.3">
      <c r="G711" s="6"/>
      <c r="AM711" s="39"/>
    </row>
    <row r="712" spans="7:39" s="4" customFormat="1" x14ac:dyDescent="0.3">
      <c r="G712" s="6"/>
      <c r="AM712" s="39"/>
    </row>
    <row r="713" spans="7:39" s="4" customFormat="1" x14ac:dyDescent="0.3">
      <c r="G713" s="6"/>
      <c r="AM713" s="39"/>
    </row>
    <row r="714" spans="7:39" s="4" customFormat="1" x14ac:dyDescent="0.3">
      <c r="G714" s="6"/>
      <c r="AM714" s="39"/>
    </row>
    <row r="715" spans="7:39" s="4" customFormat="1" x14ac:dyDescent="0.3">
      <c r="G715" s="6"/>
      <c r="AM715" s="39"/>
    </row>
    <row r="716" spans="7:39" s="4" customFormat="1" x14ac:dyDescent="0.3">
      <c r="G716" s="6"/>
      <c r="AM716" s="39"/>
    </row>
    <row r="717" spans="7:39" s="4" customFormat="1" x14ac:dyDescent="0.3">
      <c r="G717" s="6"/>
      <c r="AM717" s="39"/>
    </row>
    <row r="718" spans="7:39" s="4" customFormat="1" x14ac:dyDescent="0.3">
      <c r="G718" s="6"/>
      <c r="AM718" s="39"/>
    </row>
    <row r="719" spans="7:39" s="4" customFormat="1" x14ac:dyDescent="0.3">
      <c r="G719" s="6"/>
      <c r="AM719" s="39"/>
    </row>
    <row r="720" spans="7:39" s="4" customFormat="1" x14ac:dyDescent="0.3">
      <c r="G720" s="6"/>
      <c r="AM720" s="39"/>
    </row>
    <row r="721" spans="7:39" s="4" customFormat="1" x14ac:dyDescent="0.3">
      <c r="G721" s="6"/>
      <c r="AM721" s="39"/>
    </row>
    <row r="722" spans="7:39" s="4" customFormat="1" x14ac:dyDescent="0.3">
      <c r="G722" s="6"/>
      <c r="AM722" s="39"/>
    </row>
    <row r="723" spans="7:39" s="4" customFormat="1" x14ac:dyDescent="0.3">
      <c r="G723" s="6"/>
      <c r="AM723" s="39"/>
    </row>
    <row r="724" spans="7:39" s="4" customFormat="1" x14ac:dyDescent="0.3">
      <c r="G724" s="6"/>
      <c r="AM724" s="39"/>
    </row>
    <row r="725" spans="7:39" s="4" customFormat="1" x14ac:dyDescent="0.3">
      <c r="G725" s="6"/>
      <c r="AM725" s="39"/>
    </row>
    <row r="726" spans="7:39" s="4" customFormat="1" x14ac:dyDescent="0.3">
      <c r="G726" s="6"/>
      <c r="AM726" s="39"/>
    </row>
    <row r="727" spans="7:39" s="4" customFormat="1" x14ac:dyDescent="0.3">
      <c r="G727" s="6"/>
      <c r="AM727" s="39"/>
    </row>
    <row r="728" spans="7:39" s="4" customFormat="1" x14ac:dyDescent="0.3">
      <c r="G728" s="6"/>
      <c r="AM728" s="39"/>
    </row>
    <row r="729" spans="7:39" s="4" customFormat="1" x14ac:dyDescent="0.3">
      <c r="G729" s="6"/>
      <c r="AM729" s="39"/>
    </row>
    <row r="730" spans="7:39" s="4" customFormat="1" x14ac:dyDescent="0.3">
      <c r="G730" s="6"/>
      <c r="AM730" s="39"/>
    </row>
    <row r="731" spans="7:39" s="4" customFormat="1" x14ac:dyDescent="0.3">
      <c r="G731" s="6"/>
      <c r="AM731" s="39"/>
    </row>
    <row r="732" spans="7:39" s="4" customFormat="1" x14ac:dyDescent="0.3">
      <c r="G732" s="6"/>
      <c r="AM732" s="39"/>
    </row>
    <row r="733" spans="7:39" s="4" customFormat="1" x14ac:dyDescent="0.3">
      <c r="G733" s="6"/>
      <c r="AM733" s="39"/>
    </row>
    <row r="734" spans="7:39" s="4" customFormat="1" x14ac:dyDescent="0.3">
      <c r="G734" s="6"/>
      <c r="AM734" s="39"/>
    </row>
    <row r="735" spans="7:39" s="4" customFormat="1" x14ac:dyDescent="0.3">
      <c r="G735" s="6"/>
      <c r="AM735" s="39"/>
    </row>
    <row r="736" spans="7:39" s="4" customFormat="1" x14ac:dyDescent="0.3">
      <c r="G736" s="6"/>
      <c r="AM736" s="39"/>
    </row>
    <row r="737" spans="7:39" s="4" customFormat="1" x14ac:dyDescent="0.3">
      <c r="G737" s="6"/>
      <c r="AM737" s="39"/>
    </row>
    <row r="738" spans="7:39" s="4" customFormat="1" x14ac:dyDescent="0.3">
      <c r="G738" s="6"/>
      <c r="AM738" s="39"/>
    </row>
    <row r="739" spans="7:39" s="4" customFormat="1" x14ac:dyDescent="0.3">
      <c r="G739" s="6"/>
      <c r="AM739" s="39"/>
    </row>
    <row r="740" spans="7:39" s="4" customFormat="1" x14ac:dyDescent="0.3">
      <c r="G740" s="6"/>
      <c r="AM740" s="39"/>
    </row>
    <row r="741" spans="7:39" s="4" customFormat="1" x14ac:dyDescent="0.3">
      <c r="G741" s="6"/>
      <c r="AM741" s="39"/>
    </row>
    <row r="742" spans="7:39" s="4" customFormat="1" x14ac:dyDescent="0.3">
      <c r="G742" s="6"/>
      <c r="AM742" s="39"/>
    </row>
    <row r="743" spans="7:39" s="4" customFormat="1" x14ac:dyDescent="0.3">
      <c r="G743" s="6"/>
      <c r="AM743" s="39"/>
    </row>
    <row r="744" spans="7:39" s="4" customFormat="1" x14ac:dyDescent="0.3">
      <c r="G744" s="6"/>
      <c r="AM744" s="39"/>
    </row>
    <row r="745" spans="7:39" s="4" customFormat="1" x14ac:dyDescent="0.3">
      <c r="G745" s="6"/>
      <c r="AM745" s="39"/>
    </row>
    <row r="746" spans="7:39" s="4" customFormat="1" x14ac:dyDescent="0.3">
      <c r="G746" s="6"/>
      <c r="AM746" s="39"/>
    </row>
    <row r="747" spans="7:39" s="4" customFormat="1" x14ac:dyDescent="0.3">
      <c r="G747" s="6"/>
      <c r="AM747" s="39"/>
    </row>
    <row r="748" spans="7:39" s="4" customFormat="1" x14ac:dyDescent="0.3">
      <c r="G748" s="6"/>
      <c r="AM748" s="39"/>
    </row>
    <row r="749" spans="7:39" s="4" customFormat="1" x14ac:dyDescent="0.3">
      <c r="G749" s="6"/>
      <c r="AM749" s="39"/>
    </row>
    <row r="750" spans="7:39" s="4" customFormat="1" x14ac:dyDescent="0.3">
      <c r="G750" s="6"/>
      <c r="AM750" s="39"/>
    </row>
    <row r="751" spans="7:39" s="4" customFormat="1" x14ac:dyDescent="0.3">
      <c r="G751" s="6"/>
      <c r="AM751" s="39"/>
    </row>
    <row r="752" spans="7:39" s="4" customFormat="1" x14ac:dyDescent="0.3">
      <c r="G752" s="6"/>
      <c r="AM752" s="39"/>
    </row>
    <row r="753" spans="7:39" s="4" customFormat="1" x14ac:dyDescent="0.3">
      <c r="G753" s="6"/>
      <c r="AM753" s="39"/>
    </row>
    <row r="754" spans="7:39" s="4" customFormat="1" x14ac:dyDescent="0.3">
      <c r="G754" s="6"/>
      <c r="AM754" s="39"/>
    </row>
    <row r="755" spans="7:39" s="4" customFormat="1" x14ac:dyDescent="0.3">
      <c r="G755" s="6"/>
      <c r="AM755" s="39"/>
    </row>
    <row r="756" spans="7:39" s="4" customFormat="1" x14ac:dyDescent="0.3">
      <c r="G756" s="6"/>
      <c r="AM756" s="39"/>
    </row>
    <row r="757" spans="7:39" s="4" customFormat="1" x14ac:dyDescent="0.3">
      <c r="G757" s="6"/>
      <c r="AM757" s="39"/>
    </row>
    <row r="758" spans="7:39" s="4" customFormat="1" x14ac:dyDescent="0.3">
      <c r="G758" s="6"/>
      <c r="AM758" s="39"/>
    </row>
    <row r="759" spans="7:39" s="4" customFormat="1" x14ac:dyDescent="0.3">
      <c r="G759" s="6"/>
      <c r="AM759" s="39"/>
    </row>
    <row r="760" spans="7:39" s="4" customFormat="1" x14ac:dyDescent="0.3">
      <c r="G760" s="6"/>
      <c r="AM760" s="39"/>
    </row>
    <row r="761" spans="7:39" s="4" customFormat="1" x14ac:dyDescent="0.3">
      <c r="G761" s="6"/>
      <c r="AM761" s="39"/>
    </row>
    <row r="762" spans="7:39" s="4" customFormat="1" x14ac:dyDescent="0.3">
      <c r="G762" s="6"/>
      <c r="AM762" s="39"/>
    </row>
    <row r="763" spans="7:39" s="4" customFormat="1" x14ac:dyDescent="0.3">
      <c r="G763" s="6"/>
      <c r="AM763" s="39"/>
    </row>
    <row r="764" spans="7:39" s="4" customFormat="1" x14ac:dyDescent="0.3">
      <c r="G764" s="6"/>
      <c r="AM764" s="39"/>
    </row>
    <row r="765" spans="7:39" s="4" customFormat="1" x14ac:dyDescent="0.3">
      <c r="G765" s="6"/>
      <c r="AM765" s="39"/>
    </row>
    <row r="766" spans="7:39" s="4" customFormat="1" x14ac:dyDescent="0.3">
      <c r="G766" s="6"/>
      <c r="AM766" s="39"/>
    </row>
    <row r="767" spans="7:39" s="4" customFormat="1" x14ac:dyDescent="0.3">
      <c r="G767" s="6"/>
      <c r="AM767" s="39"/>
    </row>
    <row r="768" spans="7:39" s="4" customFormat="1" x14ac:dyDescent="0.3">
      <c r="G768" s="6"/>
      <c r="AM768" s="39"/>
    </row>
    <row r="769" spans="7:39" s="4" customFormat="1" x14ac:dyDescent="0.3">
      <c r="G769" s="6"/>
      <c r="AM769" s="39"/>
    </row>
    <row r="770" spans="7:39" s="4" customFormat="1" x14ac:dyDescent="0.3">
      <c r="G770" s="6"/>
      <c r="AM770" s="39"/>
    </row>
    <row r="771" spans="7:39" s="4" customFormat="1" x14ac:dyDescent="0.3">
      <c r="G771" s="6"/>
      <c r="AM771" s="39"/>
    </row>
    <row r="772" spans="7:39" s="4" customFormat="1" x14ac:dyDescent="0.3">
      <c r="G772" s="6"/>
      <c r="AM772" s="39"/>
    </row>
    <row r="773" spans="7:39" s="4" customFormat="1" x14ac:dyDescent="0.3">
      <c r="G773" s="6"/>
      <c r="AM773" s="39"/>
    </row>
    <row r="774" spans="7:39" s="4" customFormat="1" x14ac:dyDescent="0.3">
      <c r="G774" s="6"/>
      <c r="AM774" s="39"/>
    </row>
    <row r="775" spans="7:39" s="4" customFormat="1" x14ac:dyDescent="0.3">
      <c r="G775" s="6"/>
      <c r="AM775" s="39"/>
    </row>
    <row r="776" spans="7:39" s="4" customFormat="1" x14ac:dyDescent="0.3">
      <c r="G776" s="6"/>
      <c r="AM776" s="39"/>
    </row>
    <row r="777" spans="7:39" s="4" customFormat="1" x14ac:dyDescent="0.3">
      <c r="G777" s="6"/>
      <c r="AM777" s="39"/>
    </row>
    <row r="778" spans="7:39" s="4" customFormat="1" x14ac:dyDescent="0.3">
      <c r="G778" s="6"/>
      <c r="AM778" s="39"/>
    </row>
    <row r="779" spans="7:39" s="4" customFormat="1" x14ac:dyDescent="0.3">
      <c r="G779" s="6"/>
      <c r="AM779" s="39"/>
    </row>
    <row r="780" spans="7:39" s="4" customFormat="1" x14ac:dyDescent="0.3">
      <c r="G780" s="6"/>
      <c r="AM780" s="39"/>
    </row>
    <row r="781" spans="7:39" s="4" customFormat="1" x14ac:dyDescent="0.3">
      <c r="G781" s="6"/>
      <c r="AM781" s="39"/>
    </row>
    <row r="782" spans="7:39" s="4" customFormat="1" x14ac:dyDescent="0.3">
      <c r="G782" s="6"/>
      <c r="AM782" s="39"/>
    </row>
    <row r="783" spans="7:39" s="4" customFormat="1" x14ac:dyDescent="0.3">
      <c r="G783" s="6"/>
      <c r="AM783" s="39"/>
    </row>
    <row r="784" spans="7:39" s="4" customFormat="1" x14ac:dyDescent="0.3">
      <c r="G784" s="6"/>
      <c r="AM784" s="39"/>
    </row>
    <row r="785" spans="7:39" s="4" customFormat="1" x14ac:dyDescent="0.3">
      <c r="G785" s="6"/>
      <c r="AM785" s="39"/>
    </row>
    <row r="786" spans="7:39" s="4" customFormat="1" x14ac:dyDescent="0.3">
      <c r="G786" s="6"/>
      <c r="AM786" s="39"/>
    </row>
    <row r="787" spans="7:39" s="4" customFormat="1" x14ac:dyDescent="0.3">
      <c r="G787" s="6"/>
      <c r="AM787" s="39"/>
    </row>
    <row r="788" spans="7:39" s="4" customFormat="1" x14ac:dyDescent="0.3">
      <c r="G788" s="6"/>
      <c r="AM788" s="39"/>
    </row>
    <row r="789" spans="7:39" s="4" customFormat="1" x14ac:dyDescent="0.3">
      <c r="G789" s="6"/>
      <c r="AM789" s="39"/>
    </row>
    <row r="790" spans="7:39" s="4" customFormat="1" x14ac:dyDescent="0.3">
      <c r="G790" s="6"/>
      <c r="AM790" s="39"/>
    </row>
    <row r="791" spans="7:39" s="4" customFormat="1" x14ac:dyDescent="0.3">
      <c r="G791" s="6"/>
      <c r="AM791" s="39"/>
    </row>
    <row r="792" spans="7:39" s="4" customFormat="1" x14ac:dyDescent="0.3">
      <c r="G792" s="6"/>
      <c r="AM792" s="39"/>
    </row>
    <row r="793" spans="7:39" s="4" customFormat="1" x14ac:dyDescent="0.3">
      <c r="G793" s="6"/>
      <c r="AM793" s="39"/>
    </row>
    <row r="794" spans="7:39" s="4" customFormat="1" x14ac:dyDescent="0.3">
      <c r="G794" s="6"/>
      <c r="AM794" s="39"/>
    </row>
    <row r="795" spans="7:39" s="4" customFormat="1" x14ac:dyDescent="0.3">
      <c r="G795" s="6"/>
      <c r="AM795" s="39"/>
    </row>
    <row r="796" spans="7:39" s="4" customFormat="1" x14ac:dyDescent="0.3">
      <c r="G796" s="6"/>
      <c r="AM796" s="39"/>
    </row>
    <row r="797" spans="7:39" s="4" customFormat="1" x14ac:dyDescent="0.3">
      <c r="G797" s="6"/>
      <c r="AM797" s="39"/>
    </row>
    <row r="798" spans="7:39" s="4" customFormat="1" x14ac:dyDescent="0.3">
      <c r="G798" s="6"/>
      <c r="AM798" s="39"/>
    </row>
    <row r="799" spans="7:39" s="4" customFormat="1" x14ac:dyDescent="0.3">
      <c r="G799" s="6"/>
      <c r="AM799" s="39"/>
    </row>
    <row r="800" spans="7:39" s="4" customFormat="1" x14ac:dyDescent="0.3">
      <c r="G800" s="6"/>
      <c r="AM800" s="39"/>
    </row>
    <row r="801" spans="7:39" s="4" customFormat="1" x14ac:dyDescent="0.3">
      <c r="G801" s="6"/>
      <c r="AM801" s="39"/>
    </row>
    <row r="802" spans="7:39" s="4" customFormat="1" x14ac:dyDescent="0.3">
      <c r="G802" s="6"/>
      <c r="AM802" s="39"/>
    </row>
    <row r="803" spans="7:39" s="4" customFormat="1" x14ac:dyDescent="0.3">
      <c r="G803" s="6"/>
      <c r="AM803" s="39"/>
    </row>
    <row r="804" spans="7:39" s="4" customFormat="1" x14ac:dyDescent="0.3">
      <c r="G804" s="6"/>
      <c r="AM804" s="39"/>
    </row>
    <row r="805" spans="7:39" s="4" customFormat="1" x14ac:dyDescent="0.3">
      <c r="G805" s="6"/>
      <c r="AM805" s="39"/>
    </row>
    <row r="806" spans="7:39" s="4" customFormat="1" x14ac:dyDescent="0.3">
      <c r="G806" s="6"/>
      <c r="AM806" s="39"/>
    </row>
    <row r="807" spans="7:39" s="4" customFormat="1" x14ac:dyDescent="0.3">
      <c r="G807" s="6"/>
      <c r="AM807" s="39"/>
    </row>
    <row r="808" spans="7:39" s="4" customFormat="1" x14ac:dyDescent="0.3">
      <c r="G808" s="6"/>
      <c r="AM808" s="39"/>
    </row>
    <row r="809" spans="7:39" s="4" customFormat="1" x14ac:dyDescent="0.3">
      <c r="G809" s="6"/>
      <c r="AM809" s="39"/>
    </row>
    <row r="810" spans="7:39" s="4" customFormat="1" x14ac:dyDescent="0.3">
      <c r="G810" s="6"/>
      <c r="AM810" s="39"/>
    </row>
    <row r="811" spans="7:39" s="4" customFormat="1" x14ac:dyDescent="0.3">
      <c r="G811" s="6"/>
      <c r="AM811" s="39"/>
    </row>
    <row r="812" spans="7:39" s="4" customFormat="1" x14ac:dyDescent="0.3">
      <c r="G812" s="6"/>
      <c r="AM812" s="39"/>
    </row>
    <row r="813" spans="7:39" s="4" customFormat="1" x14ac:dyDescent="0.3">
      <c r="G813" s="6"/>
      <c r="AM813" s="39"/>
    </row>
    <row r="814" spans="7:39" s="4" customFormat="1" x14ac:dyDescent="0.3">
      <c r="G814" s="6"/>
      <c r="AM814" s="39"/>
    </row>
    <row r="815" spans="7:39" s="4" customFormat="1" x14ac:dyDescent="0.3">
      <c r="G815" s="6"/>
      <c r="AM815" s="39"/>
    </row>
    <row r="816" spans="7:39" s="4" customFormat="1" x14ac:dyDescent="0.3">
      <c r="G816" s="6"/>
      <c r="AM816" s="39"/>
    </row>
    <row r="817" spans="7:39" s="4" customFormat="1" x14ac:dyDescent="0.3">
      <c r="G817" s="6"/>
      <c r="AM817" s="39"/>
    </row>
    <row r="818" spans="7:39" s="4" customFormat="1" x14ac:dyDescent="0.3">
      <c r="G818" s="6"/>
      <c r="AM818" s="39"/>
    </row>
    <row r="819" spans="7:39" s="4" customFormat="1" x14ac:dyDescent="0.3">
      <c r="G819" s="6"/>
      <c r="AM819" s="39"/>
    </row>
    <row r="820" spans="7:39" s="4" customFormat="1" x14ac:dyDescent="0.3">
      <c r="G820" s="6"/>
      <c r="AM820" s="39"/>
    </row>
    <row r="821" spans="7:39" s="4" customFormat="1" x14ac:dyDescent="0.3">
      <c r="G821" s="6"/>
      <c r="AM821" s="39"/>
    </row>
    <row r="822" spans="7:39" s="4" customFormat="1" x14ac:dyDescent="0.3">
      <c r="G822" s="6"/>
      <c r="AM822" s="39"/>
    </row>
    <row r="823" spans="7:39" s="4" customFormat="1" x14ac:dyDescent="0.3">
      <c r="G823" s="6"/>
      <c r="AM823" s="39"/>
    </row>
    <row r="824" spans="7:39" s="4" customFormat="1" x14ac:dyDescent="0.3">
      <c r="G824" s="6"/>
      <c r="AM824" s="39"/>
    </row>
    <row r="825" spans="7:39" s="4" customFormat="1" x14ac:dyDescent="0.3">
      <c r="G825" s="6"/>
      <c r="AM825" s="39"/>
    </row>
    <row r="826" spans="7:39" s="4" customFormat="1" x14ac:dyDescent="0.3">
      <c r="G826" s="6"/>
      <c r="AM826" s="39"/>
    </row>
    <row r="827" spans="7:39" s="4" customFormat="1" x14ac:dyDescent="0.3">
      <c r="G827" s="6"/>
      <c r="AM827" s="39"/>
    </row>
    <row r="828" spans="7:39" s="4" customFormat="1" x14ac:dyDescent="0.3">
      <c r="G828" s="6"/>
      <c r="AM828" s="39"/>
    </row>
    <row r="829" spans="7:39" s="4" customFormat="1" x14ac:dyDescent="0.3">
      <c r="G829" s="6"/>
      <c r="AM829" s="39"/>
    </row>
    <row r="830" spans="7:39" s="4" customFormat="1" x14ac:dyDescent="0.3">
      <c r="G830" s="6"/>
      <c r="AM830" s="39"/>
    </row>
    <row r="831" spans="7:39" s="4" customFormat="1" x14ac:dyDescent="0.3">
      <c r="G831" s="6"/>
      <c r="AM831" s="39"/>
    </row>
    <row r="832" spans="7:39" s="4" customFormat="1" x14ac:dyDescent="0.3">
      <c r="G832" s="6"/>
      <c r="AM832" s="39"/>
    </row>
    <row r="833" spans="7:39" s="4" customFormat="1" x14ac:dyDescent="0.3">
      <c r="G833" s="6"/>
      <c r="AM833" s="39"/>
    </row>
    <row r="834" spans="7:39" s="4" customFormat="1" x14ac:dyDescent="0.3">
      <c r="G834" s="6"/>
      <c r="AM834" s="39"/>
    </row>
    <row r="835" spans="7:39" s="4" customFormat="1" x14ac:dyDescent="0.3">
      <c r="G835" s="6"/>
      <c r="AM835" s="39"/>
    </row>
    <row r="836" spans="7:39" s="4" customFormat="1" x14ac:dyDescent="0.3">
      <c r="G836" s="6"/>
      <c r="AM836" s="39"/>
    </row>
    <row r="837" spans="7:39" s="4" customFormat="1" x14ac:dyDescent="0.3">
      <c r="G837" s="6"/>
      <c r="AM837" s="39"/>
    </row>
    <row r="838" spans="7:39" s="4" customFormat="1" x14ac:dyDescent="0.3">
      <c r="G838" s="6"/>
      <c r="AM838" s="39"/>
    </row>
    <row r="839" spans="7:39" s="4" customFormat="1" x14ac:dyDescent="0.3">
      <c r="G839" s="6"/>
      <c r="AM839" s="39"/>
    </row>
    <row r="840" spans="7:39" s="4" customFormat="1" x14ac:dyDescent="0.3">
      <c r="G840" s="6"/>
      <c r="AM840" s="39"/>
    </row>
    <row r="841" spans="7:39" s="4" customFormat="1" x14ac:dyDescent="0.3">
      <c r="G841" s="6"/>
      <c r="AM841" s="39"/>
    </row>
    <row r="842" spans="7:39" s="4" customFormat="1" x14ac:dyDescent="0.3">
      <c r="G842" s="6"/>
      <c r="AM842" s="39"/>
    </row>
    <row r="843" spans="7:39" s="4" customFormat="1" x14ac:dyDescent="0.3">
      <c r="G843" s="6"/>
      <c r="AM843" s="39"/>
    </row>
    <row r="844" spans="7:39" s="4" customFormat="1" x14ac:dyDescent="0.3">
      <c r="G844" s="6"/>
      <c r="AM844" s="39"/>
    </row>
    <row r="845" spans="7:39" s="4" customFormat="1" x14ac:dyDescent="0.3">
      <c r="G845" s="6"/>
      <c r="AM845" s="39"/>
    </row>
    <row r="846" spans="7:39" s="4" customFormat="1" x14ac:dyDescent="0.3">
      <c r="G846" s="6"/>
      <c r="AM846" s="39"/>
    </row>
    <row r="847" spans="7:39" s="4" customFormat="1" x14ac:dyDescent="0.3">
      <c r="G847" s="6"/>
      <c r="AM847" s="39"/>
    </row>
    <row r="848" spans="7:39" s="4" customFormat="1" x14ac:dyDescent="0.3">
      <c r="G848" s="6"/>
      <c r="AM848" s="39"/>
    </row>
    <row r="849" spans="7:39" s="4" customFormat="1" x14ac:dyDescent="0.3">
      <c r="G849" s="6"/>
      <c r="AM849" s="39"/>
    </row>
    <row r="850" spans="7:39" s="4" customFormat="1" x14ac:dyDescent="0.3">
      <c r="G850" s="6"/>
      <c r="AM850" s="39"/>
    </row>
    <row r="851" spans="7:39" s="4" customFormat="1" x14ac:dyDescent="0.3">
      <c r="G851" s="6"/>
      <c r="AM851" s="39"/>
    </row>
    <row r="852" spans="7:39" s="4" customFormat="1" x14ac:dyDescent="0.3">
      <c r="G852" s="6"/>
      <c r="AM852" s="39"/>
    </row>
    <row r="853" spans="7:39" s="4" customFormat="1" x14ac:dyDescent="0.3">
      <c r="G853" s="6"/>
      <c r="AM853" s="39"/>
    </row>
    <row r="854" spans="7:39" s="4" customFormat="1" x14ac:dyDescent="0.3">
      <c r="G854" s="6"/>
      <c r="AM854" s="39"/>
    </row>
    <row r="855" spans="7:39" s="4" customFormat="1" x14ac:dyDescent="0.3">
      <c r="G855" s="6"/>
      <c r="AM855" s="39"/>
    </row>
    <row r="856" spans="7:39" s="4" customFormat="1" x14ac:dyDescent="0.3">
      <c r="G856" s="6"/>
      <c r="AM856" s="39"/>
    </row>
    <row r="857" spans="7:39" s="4" customFormat="1" x14ac:dyDescent="0.3">
      <c r="G857" s="6"/>
      <c r="AM857" s="39"/>
    </row>
    <row r="858" spans="7:39" s="4" customFormat="1" x14ac:dyDescent="0.3">
      <c r="G858" s="6"/>
      <c r="AM858" s="39"/>
    </row>
    <row r="859" spans="7:39" s="4" customFormat="1" x14ac:dyDescent="0.3">
      <c r="G859" s="6"/>
      <c r="AM859" s="39"/>
    </row>
    <row r="860" spans="7:39" s="4" customFormat="1" x14ac:dyDescent="0.3">
      <c r="G860" s="6"/>
      <c r="AM860" s="39"/>
    </row>
    <row r="861" spans="7:39" s="4" customFormat="1" x14ac:dyDescent="0.3">
      <c r="G861" s="6"/>
      <c r="AM861" s="39"/>
    </row>
    <row r="862" spans="7:39" s="4" customFormat="1" x14ac:dyDescent="0.3">
      <c r="G862" s="6"/>
      <c r="AM862" s="39"/>
    </row>
    <row r="863" spans="7:39" s="4" customFormat="1" x14ac:dyDescent="0.3">
      <c r="G863" s="6"/>
      <c r="AM863" s="39"/>
    </row>
    <row r="864" spans="7:39" s="4" customFormat="1" x14ac:dyDescent="0.3">
      <c r="G864" s="6"/>
      <c r="AM864" s="39"/>
    </row>
    <row r="865" spans="7:39" s="4" customFormat="1" x14ac:dyDescent="0.3">
      <c r="G865" s="6"/>
      <c r="AM865" s="39"/>
    </row>
    <row r="866" spans="7:39" s="4" customFormat="1" x14ac:dyDescent="0.3">
      <c r="G866" s="6"/>
      <c r="AM866" s="39"/>
    </row>
    <row r="867" spans="7:39" s="4" customFormat="1" x14ac:dyDescent="0.3">
      <c r="G867" s="6"/>
      <c r="AM867" s="39"/>
    </row>
    <row r="868" spans="7:39" s="4" customFormat="1" x14ac:dyDescent="0.3">
      <c r="G868" s="6"/>
      <c r="AM868" s="39"/>
    </row>
    <row r="869" spans="7:39" s="4" customFormat="1" x14ac:dyDescent="0.3">
      <c r="G869" s="6"/>
      <c r="AM869" s="39"/>
    </row>
    <row r="870" spans="7:39" s="4" customFormat="1" x14ac:dyDescent="0.3">
      <c r="G870" s="6"/>
      <c r="AM870" s="39"/>
    </row>
    <row r="871" spans="7:39" s="4" customFormat="1" x14ac:dyDescent="0.3">
      <c r="G871" s="6"/>
      <c r="AM871" s="39"/>
    </row>
    <row r="872" spans="7:39" s="4" customFormat="1" x14ac:dyDescent="0.3">
      <c r="G872" s="6"/>
      <c r="AM872" s="39"/>
    </row>
    <row r="873" spans="7:39" s="4" customFormat="1" x14ac:dyDescent="0.3">
      <c r="G873" s="6"/>
      <c r="AM873" s="39"/>
    </row>
    <row r="874" spans="7:39" s="4" customFormat="1" x14ac:dyDescent="0.3">
      <c r="G874" s="6"/>
      <c r="AM874" s="39"/>
    </row>
    <row r="875" spans="7:39" s="4" customFormat="1" x14ac:dyDescent="0.3">
      <c r="G875" s="6"/>
      <c r="AM875" s="39"/>
    </row>
    <row r="876" spans="7:39" s="4" customFormat="1" x14ac:dyDescent="0.3">
      <c r="G876" s="6"/>
      <c r="AM876" s="39"/>
    </row>
    <row r="877" spans="7:39" s="4" customFormat="1" x14ac:dyDescent="0.3">
      <c r="G877" s="6"/>
      <c r="AM877" s="39"/>
    </row>
    <row r="878" spans="7:39" s="4" customFormat="1" x14ac:dyDescent="0.3">
      <c r="G878" s="6"/>
      <c r="AM878" s="39"/>
    </row>
    <row r="879" spans="7:39" s="4" customFormat="1" x14ac:dyDescent="0.3">
      <c r="G879" s="6"/>
      <c r="AM879" s="39"/>
    </row>
    <row r="880" spans="7:39" s="4" customFormat="1" x14ac:dyDescent="0.3">
      <c r="G880" s="6"/>
      <c r="AM880" s="39"/>
    </row>
    <row r="881" spans="7:39" s="4" customFormat="1" x14ac:dyDescent="0.3">
      <c r="G881" s="6"/>
      <c r="AM881" s="39"/>
    </row>
    <row r="882" spans="7:39" s="4" customFormat="1" x14ac:dyDescent="0.3">
      <c r="G882" s="6"/>
      <c r="AM882" s="39"/>
    </row>
    <row r="883" spans="7:39" s="4" customFormat="1" x14ac:dyDescent="0.3">
      <c r="G883" s="6"/>
      <c r="AM883" s="39"/>
    </row>
    <row r="884" spans="7:39" s="4" customFormat="1" x14ac:dyDescent="0.3">
      <c r="G884" s="6"/>
      <c r="AM884" s="39"/>
    </row>
    <row r="885" spans="7:39" s="4" customFormat="1" x14ac:dyDescent="0.3">
      <c r="G885" s="6"/>
      <c r="AM885" s="39"/>
    </row>
    <row r="886" spans="7:39" s="4" customFormat="1" x14ac:dyDescent="0.3">
      <c r="G886" s="6"/>
      <c r="AM886" s="39"/>
    </row>
    <row r="887" spans="7:39" s="4" customFormat="1" x14ac:dyDescent="0.3">
      <c r="G887" s="6"/>
      <c r="AM887" s="39"/>
    </row>
    <row r="888" spans="7:39" s="4" customFormat="1" x14ac:dyDescent="0.3">
      <c r="G888" s="6"/>
      <c r="AM888" s="39"/>
    </row>
    <row r="889" spans="7:39" s="4" customFormat="1" x14ac:dyDescent="0.3">
      <c r="G889" s="6"/>
      <c r="AM889" s="39"/>
    </row>
    <row r="890" spans="7:39" s="4" customFormat="1" x14ac:dyDescent="0.3">
      <c r="G890" s="6"/>
      <c r="AM890" s="39"/>
    </row>
    <row r="891" spans="7:39" s="4" customFormat="1" x14ac:dyDescent="0.3">
      <c r="G891" s="6"/>
      <c r="AM891" s="39"/>
    </row>
    <row r="892" spans="7:39" s="4" customFormat="1" x14ac:dyDescent="0.3">
      <c r="G892" s="6"/>
      <c r="AM892" s="39"/>
    </row>
    <row r="893" spans="7:39" s="4" customFormat="1" x14ac:dyDescent="0.3">
      <c r="G893" s="6"/>
      <c r="AM893" s="39"/>
    </row>
    <row r="894" spans="7:39" s="4" customFormat="1" x14ac:dyDescent="0.3">
      <c r="G894" s="6"/>
      <c r="AM894" s="39"/>
    </row>
    <row r="895" spans="7:39" s="4" customFormat="1" x14ac:dyDescent="0.3">
      <c r="G895" s="6"/>
      <c r="AM895" s="39"/>
    </row>
    <row r="896" spans="7:39" s="4" customFormat="1" x14ac:dyDescent="0.3">
      <c r="G896" s="6"/>
      <c r="AM896" s="39"/>
    </row>
    <row r="897" spans="7:39" s="4" customFormat="1" x14ac:dyDescent="0.3">
      <c r="G897" s="6"/>
      <c r="AM897" s="39"/>
    </row>
    <row r="898" spans="7:39" s="4" customFormat="1" x14ac:dyDescent="0.3">
      <c r="G898" s="6"/>
      <c r="AM898" s="39"/>
    </row>
    <row r="899" spans="7:39" s="4" customFormat="1" x14ac:dyDescent="0.3">
      <c r="G899" s="6"/>
      <c r="AM899" s="39"/>
    </row>
    <row r="900" spans="7:39" s="4" customFormat="1" x14ac:dyDescent="0.3">
      <c r="G900" s="6"/>
      <c r="AM900" s="39"/>
    </row>
    <row r="901" spans="7:39" s="4" customFormat="1" x14ac:dyDescent="0.3">
      <c r="G901" s="6"/>
      <c r="AM901" s="39"/>
    </row>
    <row r="902" spans="7:39" s="4" customFormat="1" x14ac:dyDescent="0.3">
      <c r="G902" s="6"/>
      <c r="AM902" s="39"/>
    </row>
    <row r="903" spans="7:39" s="4" customFormat="1" x14ac:dyDescent="0.3">
      <c r="G903" s="6"/>
      <c r="AM903" s="39"/>
    </row>
    <row r="904" spans="7:39" s="4" customFormat="1" x14ac:dyDescent="0.3">
      <c r="G904" s="6"/>
      <c r="AM904" s="39"/>
    </row>
    <row r="905" spans="7:39" s="4" customFormat="1" x14ac:dyDescent="0.3">
      <c r="G905" s="6"/>
      <c r="AM905" s="39"/>
    </row>
    <row r="906" spans="7:39" s="4" customFormat="1" x14ac:dyDescent="0.3">
      <c r="G906" s="6"/>
      <c r="AM906" s="39"/>
    </row>
    <row r="907" spans="7:39" s="4" customFormat="1" x14ac:dyDescent="0.3">
      <c r="G907" s="6"/>
      <c r="AM907" s="39"/>
    </row>
    <row r="908" spans="7:39" s="4" customFormat="1" x14ac:dyDescent="0.3">
      <c r="G908" s="6"/>
      <c r="AM908" s="39"/>
    </row>
    <row r="909" spans="7:39" s="4" customFormat="1" x14ac:dyDescent="0.3">
      <c r="G909" s="6"/>
      <c r="AM909" s="39"/>
    </row>
    <row r="910" spans="7:39" s="4" customFormat="1" x14ac:dyDescent="0.3">
      <c r="G910" s="6"/>
      <c r="AM910" s="39"/>
    </row>
    <row r="911" spans="7:39" s="4" customFormat="1" x14ac:dyDescent="0.3">
      <c r="G911" s="6"/>
      <c r="AM911" s="39"/>
    </row>
    <row r="912" spans="7:39" s="4" customFormat="1" x14ac:dyDescent="0.3">
      <c r="G912" s="6"/>
      <c r="AM912" s="39"/>
    </row>
    <row r="913" spans="7:39" s="4" customFormat="1" x14ac:dyDescent="0.3">
      <c r="G913" s="6"/>
      <c r="AM913" s="39"/>
    </row>
    <row r="914" spans="7:39" s="4" customFormat="1" x14ac:dyDescent="0.3">
      <c r="G914" s="6"/>
      <c r="AM914" s="39"/>
    </row>
    <row r="915" spans="7:39" s="4" customFormat="1" x14ac:dyDescent="0.3">
      <c r="G915" s="6"/>
      <c r="AM915" s="39"/>
    </row>
    <row r="916" spans="7:39" s="4" customFormat="1" x14ac:dyDescent="0.3">
      <c r="G916" s="6"/>
      <c r="AM916" s="39"/>
    </row>
    <row r="917" spans="7:39" s="4" customFormat="1" x14ac:dyDescent="0.3">
      <c r="G917" s="6"/>
      <c r="AM917" s="39"/>
    </row>
    <row r="918" spans="7:39" s="4" customFormat="1" x14ac:dyDescent="0.3">
      <c r="G918" s="6"/>
      <c r="AM918" s="39"/>
    </row>
    <row r="919" spans="7:39" s="4" customFormat="1" x14ac:dyDescent="0.3">
      <c r="G919" s="6"/>
      <c r="AM919" s="39"/>
    </row>
    <row r="920" spans="7:39" s="4" customFormat="1" x14ac:dyDescent="0.3">
      <c r="G920" s="6"/>
      <c r="AM920" s="39"/>
    </row>
    <row r="921" spans="7:39" s="4" customFormat="1" x14ac:dyDescent="0.3">
      <c r="G921" s="6"/>
      <c r="AM921" s="39"/>
    </row>
    <row r="922" spans="7:39" s="4" customFormat="1" x14ac:dyDescent="0.3">
      <c r="G922" s="6"/>
      <c r="AM922" s="39"/>
    </row>
    <row r="923" spans="7:39" s="4" customFormat="1" x14ac:dyDescent="0.3">
      <c r="G923" s="6"/>
      <c r="AM923" s="39"/>
    </row>
    <row r="924" spans="7:39" s="4" customFormat="1" x14ac:dyDescent="0.3">
      <c r="G924" s="6"/>
      <c r="AM924" s="39"/>
    </row>
    <row r="925" spans="7:39" s="4" customFormat="1" x14ac:dyDescent="0.3">
      <c r="G925" s="6"/>
      <c r="AM925" s="39"/>
    </row>
    <row r="926" spans="7:39" s="4" customFormat="1" x14ac:dyDescent="0.3">
      <c r="G926" s="6"/>
      <c r="AM926" s="39"/>
    </row>
    <row r="927" spans="7:39" s="4" customFormat="1" x14ac:dyDescent="0.3">
      <c r="G927" s="6"/>
      <c r="AM927" s="39"/>
    </row>
    <row r="928" spans="7:39" s="4" customFormat="1" x14ac:dyDescent="0.3">
      <c r="G928" s="6"/>
      <c r="AM928" s="39"/>
    </row>
    <row r="929" spans="7:39" s="4" customFormat="1" x14ac:dyDescent="0.3">
      <c r="G929" s="6"/>
      <c r="AM929" s="39"/>
    </row>
    <row r="930" spans="7:39" s="4" customFormat="1" x14ac:dyDescent="0.3">
      <c r="G930" s="6"/>
      <c r="AM930" s="39"/>
    </row>
    <row r="931" spans="7:39" s="4" customFormat="1" x14ac:dyDescent="0.3">
      <c r="G931" s="6"/>
      <c r="AM931" s="39"/>
    </row>
    <row r="932" spans="7:39" s="4" customFormat="1" x14ac:dyDescent="0.3">
      <c r="G932" s="6"/>
      <c r="AM932" s="39"/>
    </row>
    <row r="933" spans="7:39" s="4" customFormat="1" x14ac:dyDescent="0.3">
      <c r="G933" s="6"/>
      <c r="AM933" s="39"/>
    </row>
    <row r="934" spans="7:39" s="4" customFormat="1" x14ac:dyDescent="0.3">
      <c r="G934" s="6"/>
      <c r="AM934" s="39"/>
    </row>
    <row r="935" spans="7:39" s="4" customFormat="1" x14ac:dyDescent="0.3">
      <c r="G935" s="6"/>
      <c r="AM935" s="39"/>
    </row>
    <row r="936" spans="7:39" s="4" customFormat="1" x14ac:dyDescent="0.3">
      <c r="G936" s="6"/>
      <c r="AM936" s="39"/>
    </row>
    <row r="937" spans="7:39" s="4" customFormat="1" x14ac:dyDescent="0.3">
      <c r="G937" s="6"/>
      <c r="AM937" s="39"/>
    </row>
    <row r="938" spans="7:39" s="4" customFormat="1" x14ac:dyDescent="0.3">
      <c r="G938" s="6"/>
      <c r="AM938" s="39"/>
    </row>
    <row r="939" spans="7:39" s="4" customFormat="1" x14ac:dyDescent="0.3">
      <c r="G939" s="6"/>
      <c r="AM939" s="39"/>
    </row>
    <row r="940" spans="7:39" s="4" customFormat="1" x14ac:dyDescent="0.3">
      <c r="G940" s="6"/>
      <c r="AM940" s="39"/>
    </row>
    <row r="941" spans="7:39" s="4" customFormat="1" x14ac:dyDescent="0.3">
      <c r="G941" s="6"/>
      <c r="AM941" s="39"/>
    </row>
    <row r="942" spans="7:39" s="4" customFormat="1" x14ac:dyDescent="0.3">
      <c r="G942" s="6"/>
      <c r="AM942" s="39"/>
    </row>
    <row r="943" spans="7:39" s="4" customFormat="1" x14ac:dyDescent="0.3">
      <c r="G943" s="6"/>
      <c r="AM943" s="39"/>
    </row>
    <row r="944" spans="7:39" s="4" customFormat="1" x14ac:dyDescent="0.3">
      <c r="G944" s="6"/>
      <c r="AM944" s="39"/>
    </row>
    <row r="945" spans="7:39" s="4" customFormat="1" x14ac:dyDescent="0.3">
      <c r="G945" s="6"/>
      <c r="AM945" s="39"/>
    </row>
    <row r="946" spans="7:39" s="4" customFormat="1" x14ac:dyDescent="0.3">
      <c r="G946" s="6"/>
      <c r="AM946" s="39"/>
    </row>
    <row r="947" spans="7:39" s="4" customFormat="1" x14ac:dyDescent="0.3">
      <c r="G947" s="6"/>
      <c r="AM947" s="39"/>
    </row>
    <row r="948" spans="7:39" s="4" customFormat="1" x14ac:dyDescent="0.3">
      <c r="G948" s="6"/>
      <c r="AM948" s="39"/>
    </row>
    <row r="949" spans="7:39" s="4" customFormat="1" x14ac:dyDescent="0.3">
      <c r="G949" s="6"/>
      <c r="AM949" s="39"/>
    </row>
    <row r="950" spans="7:39" s="4" customFormat="1" x14ac:dyDescent="0.3">
      <c r="G950" s="6"/>
      <c r="AM950" s="39"/>
    </row>
    <row r="951" spans="7:39" s="4" customFormat="1" x14ac:dyDescent="0.3">
      <c r="G951" s="6"/>
      <c r="AM951" s="39"/>
    </row>
    <row r="952" spans="7:39" s="4" customFormat="1" x14ac:dyDescent="0.3">
      <c r="G952" s="6"/>
      <c r="AM952" s="39"/>
    </row>
    <row r="953" spans="7:39" s="4" customFormat="1" x14ac:dyDescent="0.3">
      <c r="G953" s="6"/>
      <c r="AM953" s="39"/>
    </row>
    <row r="954" spans="7:39" s="4" customFormat="1" x14ac:dyDescent="0.3">
      <c r="G954" s="6"/>
      <c r="AM954" s="39"/>
    </row>
    <row r="955" spans="7:39" s="4" customFormat="1" x14ac:dyDescent="0.3">
      <c r="G955" s="6"/>
      <c r="AM955" s="39"/>
    </row>
    <row r="956" spans="7:39" s="4" customFormat="1" x14ac:dyDescent="0.3">
      <c r="G956" s="6"/>
      <c r="AM956" s="39"/>
    </row>
    <row r="957" spans="7:39" s="4" customFormat="1" x14ac:dyDescent="0.3">
      <c r="G957" s="6"/>
      <c r="AM957" s="39"/>
    </row>
    <row r="958" spans="7:39" s="4" customFormat="1" x14ac:dyDescent="0.3">
      <c r="G958" s="6"/>
      <c r="AM958" s="39"/>
    </row>
    <row r="959" spans="7:39" s="4" customFormat="1" x14ac:dyDescent="0.3">
      <c r="G959" s="6"/>
      <c r="AM959" s="39"/>
    </row>
    <row r="960" spans="7:39" s="4" customFormat="1" x14ac:dyDescent="0.3">
      <c r="G960" s="6"/>
      <c r="AM960" s="39"/>
    </row>
    <row r="961" spans="7:39" s="4" customFormat="1" x14ac:dyDescent="0.3">
      <c r="G961" s="6"/>
      <c r="AM961" s="39"/>
    </row>
    <row r="962" spans="7:39" s="4" customFormat="1" x14ac:dyDescent="0.3">
      <c r="G962" s="6"/>
      <c r="AM962" s="39"/>
    </row>
    <row r="963" spans="7:39" s="4" customFormat="1" x14ac:dyDescent="0.3">
      <c r="G963" s="6"/>
      <c r="AM963" s="39"/>
    </row>
    <row r="964" spans="7:39" s="4" customFormat="1" x14ac:dyDescent="0.3">
      <c r="G964" s="6"/>
      <c r="AM964" s="39"/>
    </row>
    <row r="965" spans="7:39" s="4" customFormat="1" x14ac:dyDescent="0.3">
      <c r="G965" s="6"/>
      <c r="AM965" s="39"/>
    </row>
    <row r="966" spans="7:39" s="4" customFormat="1" x14ac:dyDescent="0.3">
      <c r="G966" s="6"/>
      <c r="AM966" s="39"/>
    </row>
    <row r="967" spans="7:39" s="4" customFormat="1" x14ac:dyDescent="0.3">
      <c r="G967" s="6"/>
      <c r="AM967" s="39"/>
    </row>
    <row r="968" spans="7:39" s="4" customFormat="1" x14ac:dyDescent="0.3">
      <c r="G968" s="6"/>
      <c r="AM968" s="39"/>
    </row>
    <row r="969" spans="7:39" s="4" customFormat="1" x14ac:dyDescent="0.3">
      <c r="G969" s="6"/>
      <c r="AM969" s="39"/>
    </row>
    <row r="970" spans="7:39" s="4" customFormat="1" x14ac:dyDescent="0.3">
      <c r="G970" s="6"/>
      <c r="AM970" s="39"/>
    </row>
    <row r="971" spans="7:39" s="4" customFormat="1" x14ac:dyDescent="0.3">
      <c r="G971" s="6"/>
      <c r="AM971" s="39"/>
    </row>
    <row r="972" spans="7:39" s="4" customFormat="1" x14ac:dyDescent="0.3">
      <c r="G972" s="6"/>
      <c r="AM972" s="39"/>
    </row>
    <row r="973" spans="7:39" s="4" customFormat="1" x14ac:dyDescent="0.3">
      <c r="G973" s="6"/>
      <c r="AM973" s="39"/>
    </row>
    <row r="974" spans="7:39" s="4" customFormat="1" x14ac:dyDescent="0.3">
      <c r="G974" s="6"/>
      <c r="AM974" s="39"/>
    </row>
    <row r="975" spans="7:39" s="4" customFormat="1" x14ac:dyDescent="0.3">
      <c r="G975" s="6"/>
      <c r="AM975" s="39"/>
    </row>
    <row r="976" spans="7:39" s="4" customFormat="1" x14ac:dyDescent="0.3">
      <c r="G976" s="6"/>
      <c r="AM976" s="39"/>
    </row>
    <row r="977" spans="7:39" s="4" customFormat="1" x14ac:dyDescent="0.3">
      <c r="G977" s="6"/>
      <c r="AM977" s="39"/>
    </row>
    <row r="978" spans="7:39" s="4" customFormat="1" x14ac:dyDescent="0.3">
      <c r="G978" s="6"/>
      <c r="AM978" s="39"/>
    </row>
    <row r="979" spans="7:39" s="4" customFormat="1" x14ac:dyDescent="0.3">
      <c r="G979" s="6"/>
      <c r="AM979" s="39"/>
    </row>
    <row r="980" spans="7:39" s="4" customFormat="1" x14ac:dyDescent="0.3">
      <c r="G980" s="6"/>
      <c r="AM980" s="39"/>
    </row>
    <row r="981" spans="7:39" s="4" customFormat="1" x14ac:dyDescent="0.3">
      <c r="G981" s="6"/>
      <c r="AM981" s="39"/>
    </row>
    <row r="982" spans="7:39" s="4" customFormat="1" x14ac:dyDescent="0.3">
      <c r="G982" s="6"/>
      <c r="AM982" s="39"/>
    </row>
    <row r="983" spans="7:39" s="4" customFormat="1" x14ac:dyDescent="0.3">
      <c r="G983" s="6"/>
      <c r="AM983" s="39"/>
    </row>
    <row r="984" spans="7:39" s="4" customFormat="1" x14ac:dyDescent="0.3">
      <c r="G984" s="6"/>
      <c r="AM984" s="39"/>
    </row>
    <row r="985" spans="7:39" s="4" customFormat="1" x14ac:dyDescent="0.3">
      <c r="G985" s="6"/>
      <c r="AM985" s="39"/>
    </row>
    <row r="986" spans="7:39" s="4" customFormat="1" x14ac:dyDescent="0.3">
      <c r="G986" s="6"/>
      <c r="AM986" s="39"/>
    </row>
    <row r="987" spans="7:39" s="4" customFormat="1" x14ac:dyDescent="0.3">
      <c r="G987" s="6"/>
      <c r="AM987" s="39"/>
    </row>
    <row r="988" spans="7:39" s="4" customFormat="1" x14ac:dyDescent="0.3">
      <c r="G988" s="6"/>
      <c r="AM988" s="39"/>
    </row>
    <row r="989" spans="7:39" s="4" customFormat="1" x14ac:dyDescent="0.3">
      <c r="G989" s="6"/>
      <c r="AM989" s="39"/>
    </row>
    <row r="990" spans="7:39" s="4" customFormat="1" x14ac:dyDescent="0.3">
      <c r="G990" s="6"/>
      <c r="AM990" s="39"/>
    </row>
    <row r="991" spans="7:39" s="4" customFormat="1" x14ac:dyDescent="0.3">
      <c r="G991" s="6"/>
      <c r="AM991" s="39"/>
    </row>
    <row r="992" spans="7:39" s="4" customFormat="1" x14ac:dyDescent="0.3">
      <c r="G992" s="6"/>
      <c r="AM992" s="39"/>
    </row>
    <row r="993" spans="7:39" s="4" customFormat="1" x14ac:dyDescent="0.3">
      <c r="G993" s="6"/>
      <c r="AM993" s="39"/>
    </row>
    <row r="994" spans="7:39" s="4" customFormat="1" x14ac:dyDescent="0.3">
      <c r="G994" s="6"/>
      <c r="AM994" s="39"/>
    </row>
    <row r="995" spans="7:39" s="4" customFormat="1" x14ac:dyDescent="0.3">
      <c r="G995" s="6"/>
      <c r="AM995" s="39"/>
    </row>
    <row r="996" spans="7:39" s="4" customFormat="1" x14ac:dyDescent="0.3">
      <c r="G996" s="6"/>
      <c r="AM996" s="39"/>
    </row>
    <row r="997" spans="7:39" s="4" customFormat="1" x14ac:dyDescent="0.3">
      <c r="G997" s="6"/>
      <c r="AM997" s="39"/>
    </row>
    <row r="998" spans="7:39" s="4" customFormat="1" x14ac:dyDescent="0.3">
      <c r="G998" s="6"/>
      <c r="AM998" s="39"/>
    </row>
    <row r="999" spans="7:39" s="4" customFormat="1" x14ac:dyDescent="0.3">
      <c r="G999" s="6"/>
      <c r="AM999" s="39"/>
    </row>
    <row r="1000" spans="7:39" s="4" customFormat="1" x14ac:dyDescent="0.3">
      <c r="G1000" s="6"/>
      <c r="AM1000" s="39"/>
    </row>
    <row r="1001" spans="7:39" s="4" customFormat="1" x14ac:dyDescent="0.3">
      <c r="G1001" s="6"/>
      <c r="AM1001" s="39"/>
    </row>
    <row r="1002" spans="7:39" s="4" customFormat="1" x14ac:dyDescent="0.3">
      <c r="G1002" s="6"/>
      <c r="AM1002" s="39"/>
    </row>
    <row r="1003" spans="7:39" s="4" customFormat="1" x14ac:dyDescent="0.3">
      <c r="G1003" s="6"/>
      <c r="AM1003" s="39"/>
    </row>
    <row r="1004" spans="7:39" s="4" customFormat="1" x14ac:dyDescent="0.3">
      <c r="G1004" s="6"/>
      <c r="AM1004" s="39"/>
    </row>
    <row r="1005" spans="7:39" s="4" customFormat="1" x14ac:dyDescent="0.3">
      <c r="G1005" s="6"/>
      <c r="AM1005" s="39"/>
    </row>
    <row r="1006" spans="7:39" s="4" customFormat="1" x14ac:dyDescent="0.3">
      <c r="G1006" s="6"/>
      <c r="AM1006" s="39"/>
    </row>
    <row r="1007" spans="7:39" s="4" customFormat="1" x14ac:dyDescent="0.3">
      <c r="G1007" s="6"/>
      <c r="AM1007" s="39"/>
    </row>
    <row r="1008" spans="7:39" s="4" customFormat="1" x14ac:dyDescent="0.3">
      <c r="G1008" s="6"/>
      <c r="AM1008" s="39"/>
    </row>
    <row r="1009" spans="7:39" s="4" customFormat="1" x14ac:dyDescent="0.3">
      <c r="G1009" s="6"/>
      <c r="AM1009" s="39"/>
    </row>
    <row r="1010" spans="7:39" s="4" customFormat="1" x14ac:dyDescent="0.3">
      <c r="G1010" s="6"/>
      <c r="AM1010" s="39"/>
    </row>
    <row r="1011" spans="7:39" s="4" customFormat="1" x14ac:dyDescent="0.3">
      <c r="G1011" s="6"/>
      <c r="AM1011" s="39"/>
    </row>
    <row r="1012" spans="7:39" s="4" customFormat="1" x14ac:dyDescent="0.3">
      <c r="G1012" s="6"/>
      <c r="AM1012" s="39"/>
    </row>
    <row r="1013" spans="7:39" s="4" customFormat="1" x14ac:dyDescent="0.3">
      <c r="G1013" s="6"/>
      <c r="AM1013" s="39"/>
    </row>
    <row r="1014" spans="7:39" s="4" customFormat="1" x14ac:dyDescent="0.3">
      <c r="G1014" s="6"/>
      <c r="AM1014" s="39"/>
    </row>
    <row r="1015" spans="7:39" s="4" customFormat="1" x14ac:dyDescent="0.3">
      <c r="G1015" s="6"/>
      <c r="AM1015" s="39"/>
    </row>
    <row r="1016" spans="7:39" s="4" customFormat="1" x14ac:dyDescent="0.3">
      <c r="G1016" s="6"/>
      <c r="AM1016" s="39"/>
    </row>
    <row r="1017" spans="7:39" s="4" customFormat="1" x14ac:dyDescent="0.3">
      <c r="G1017" s="6"/>
      <c r="AM1017" s="39"/>
    </row>
    <row r="1018" spans="7:39" s="4" customFormat="1" x14ac:dyDescent="0.3">
      <c r="G1018" s="6"/>
      <c r="AM1018" s="39"/>
    </row>
    <row r="1019" spans="7:39" s="4" customFormat="1" x14ac:dyDescent="0.3">
      <c r="G1019" s="6"/>
      <c r="AM1019" s="39"/>
    </row>
    <row r="1020" spans="7:39" s="4" customFormat="1" x14ac:dyDescent="0.3">
      <c r="G1020" s="6"/>
      <c r="AM1020" s="39"/>
    </row>
    <row r="1021" spans="7:39" s="4" customFormat="1" x14ac:dyDescent="0.3">
      <c r="G1021" s="6"/>
      <c r="AM1021" s="39"/>
    </row>
    <row r="1022" spans="7:39" s="4" customFormat="1" x14ac:dyDescent="0.3">
      <c r="G1022" s="6"/>
      <c r="AM1022" s="39"/>
    </row>
    <row r="1023" spans="7:39" s="4" customFormat="1" x14ac:dyDescent="0.3">
      <c r="G1023" s="6"/>
      <c r="AM1023" s="39"/>
    </row>
    <row r="1024" spans="7:39" s="4" customFormat="1" x14ac:dyDescent="0.3">
      <c r="G1024" s="6"/>
      <c r="AM1024" s="39"/>
    </row>
    <row r="1025" spans="7:39" s="4" customFormat="1" x14ac:dyDescent="0.3">
      <c r="G1025" s="6"/>
      <c r="AM1025" s="39"/>
    </row>
    <row r="1026" spans="7:39" s="4" customFormat="1" x14ac:dyDescent="0.3">
      <c r="G1026" s="6"/>
      <c r="AM1026" s="39"/>
    </row>
    <row r="1027" spans="7:39" s="4" customFormat="1" x14ac:dyDescent="0.3">
      <c r="G1027" s="6"/>
      <c r="AM1027" s="39"/>
    </row>
    <row r="1028" spans="7:39" s="4" customFormat="1" x14ac:dyDescent="0.3">
      <c r="G1028" s="6"/>
      <c r="AM1028" s="39"/>
    </row>
    <row r="1029" spans="7:39" s="4" customFormat="1" x14ac:dyDescent="0.3">
      <c r="G1029" s="6"/>
      <c r="AM1029" s="39"/>
    </row>
    <row r="1030" spans="7:39" s="4" customFormat="1" x14ac:dyDescent="0.3">
      <c r="G1030" s="6"/>
      <c r="AM1030" s="39"/>
    </row>
    <row r="1031" spans="7:39" s="4" customFormat="1" x14ac:dyDescent="0.3">
      <c r="G1031" s="6"/>
      <c r="AM1031" s="39"/>
    </row>
    <row r="1032" spans="7:39" s="4" customFormat="1" x14ac:dyDescent="0.3">
      <c r="G1032" s="6"/>
      <c r="AM1032" s="39"/>
    </row>
    <row r="1033" spans="7:39" s="4" customFormat="1" x14ac:dyDescent="0.3">
      <c r="G1033" s="6"/>
      <c r="AM1033" s="39"/>
    </row>
    <row r="1034" spans="7:39" s="4" customFormat="1" x14ac:dyDescent="0.3">
      <c r="G1034" s="6"/>
      <c r="AM1034" s="39"/>
    </row>
    <row r="1035" spans="7:39" s="4" customFormat="1" x14ac:dyDescent="0.3">
      <c r="G1035" s="6"/>
      <c r="AM1035" s="39"/>
    </row>
    <row r="1036" spans="7:39" s="4" customFormat="1" x14ac:dyDescent="0.3">
      <c r="G1036" s="6"/>
      <c r="AM1036" s="39"/>
    </row>
    <row r="1037" spans="7:39" s="4" customFormat="1" x14ac:dyDescent="0.3">
      <c r="G1037" s="6"/>
      <c r="AM1037" s="39"/>
    </row>
    <row r="1038" spans="7:39" s="4" customFormat="1" x14ac:dyDescent="0.3">
      <c r="G1038" s="6"/>
      <c r="AM1038" s="39"/>
    </row>
    <row r="1039" spans="7:39" s="4" customFormat="1" x14ac:dyDescent="0.3">
      <c r="G1039" s="6"/>
      <c r="AM1039" s="39"/>
    </row>
    <row r="1040" spans="7:39" s="4" customFormat="1" x14ac:dyDescent="0.3">
      <c r="G1040" s="6"/>
      <c r="AM1040" s="39"/>
    </row>
    <row r="1041" spans="7:39" s="4" customFormat="1" x14ac:dyDescent="0.3">
      <c r="G1041" s="6"/>
      <c r="AM1041" s="39"/>
    </row>
    <row r="1042" spans="7:39" s="4" customFormat="1" x14ac:dyDescent="0.3">
      <c r="G1042" s="6"/>
      <c r="AM1042" s="39"/>
    </row>
    <row r="1043" spans="7:39" s="4" customFormat="1" x14ac:dyDescent="0.3">
      <c r="G1043" s="6"/>
      <c r="AM1043" s="39"/>
    </row>
    <row r="1044" spans="7:39" s="4" customFormat="1" x14ac:dyDescent="0.3">
      <c r="G1044" s="6"/>
      <c r="AM1044" s="39"/>
    </row>
    <row r="1045" spans="7:39" s="4" customFormat="1" x14ac:dyDescent="0.3">
      <c r="G1045" s="6"/>
      <c r="AM1045" s="39"/>
    </row>
    <row r="1046" spans="7:39" s="4" customFormat="1" x14ac:dyDescent="0.3">
      <c r="G1046" s="6"/>
      <c r="AM1046" s="39"/>
    </row>
    <row r="1047" spans="7:39" s="4" customFormat="1" x14ac:dyDescent="0.3">
      <c r="G1047" s="6"/>
      <c r="AM1047" s="39"/>
    </row>
    <row r="1048" spans="7:39" s="4" customFormat="1" x14ac:dyDescent="0.3">
      <c r="G1048" s="6"/>
      <c r="AM1048" s="39"/>
    </row>
    <row r="1049" spans="7:39" s="4" customFormat="1" x14ac:dyDescent="0.3">
      <c r="G1049" s="6"/>
      <c r="AM1049" s="39"/>
    </row>
    <row r="1050" spans="7:39" s="4" customFormat="1" x14ac:dyDescent="0.3">
      <c r="G1050" s="6"/>
      <c r="AM1050" s="39"/>
    </row>
    <row r="1051" spans="7:39" s="4" customFormat="1" x14ac:dyDescent="0.3">
      <c r="G1051" s="6"/>
      <c r="AM1051" s="39"/>
    </row>
    <row r="1052" spans="7:39" s="4" customFormat="1" x14ac:dyDescent="0.3">
      <c r="G1052" s="6"/>
      <c r="AM1052" s="39"/>
    </row>
    <row r="1053" spans="7:39" s="4" customFormat="1" x14ac:dyDescent="0.3">
      <c r="G1053" s="6"/>
      <c r="AM1053" s="39"/>
    </row>
    <row r="1054" spans="7:39" s="4" customFormat="1" x14ac:dyDescent="0.3">
      <c r="G1054" s="6"/>
      <c r="AM1054" s="39"/>
    </row>
    <row r="1055" spans="7:39" s="4" customFormat="1" x14ac:dyDescent="0.3">
      <c r="G1055" s="6"/>
      <c r="AM1055" s="39"/>
    </row>
    <row r="1056" spans="7:39" s="4" customFormat="1" x14ac:dyDescent="0.3">
      <c r="G1056" s="6"/>
      <c r="AM1056" s="39"/>
    </row>
    <row r="1057" spans="7:39" s="4" customFormat="1" x14ac:dyDescent="0.3">
      <c r="G1057" s="6"/>
      <c r="AM1057" s="39"/>
    </row>
    <row r="1058" spans="7:39" s="4" customFormat="1" x14ac:dyDescent="0.3">
      <c r="G1058" s="6"/>
      <c r="AM1058" s="39"/>
    </row>
    <row r="1059" spans="7:39" s="4" customFormat="1" x14ac:dyDescent="0.3">
      <c r="G1059" s="6"/>
      <c r="AM1059" s="39"/>
    </row>
    <row r="1060" spans="7:39" s="4" customFormat="1" x14ac:dyDescent="0.3">
      <c r="G1060" s="6"/>
      <c r="AM1060" s="39"/>
    </row>
    <row r="1061" spans="7:39" s="4" customFormat="1" x14ac:dyDescent="0.3">
      <c r="G1061" s="6"/>
      <c r="AM1061" s="39"/>
    </row>
    <row r="1062" spans="7:39" s="4" customFormat="1" x14ac:dyDescent="0.3">
      <c r="G1062" s="6"/>
      <c r="AM1062" s="39"/>
    </row>
    <row r="1063" spans="7:39" s="4" customFormat="1" x14ac:dyDescent="0.3">
      <c r="G1063" s="6"/>
      <c r="AM1063" s="39"/>
    </row>
    <row r="1064" spans="7:39" s="4" customFormat="1" x14ac:dyDescent="0.3">
      <c r="G1064" s="6"/>
      <c r="AM1064" s="39"/>
    </row>
    <row r="1065" spans="7:39" s="4" customFormat="1" x14ac:dyDescent="0.3">
      <c r="G1065" s="6"/>
      <c r="AM1065" s="39"/>
    </row>
    <row r="1066" spans="7:39" s="4" customFormat="1" x14ac:dyDescent="0.3">
      <c r="G1066" s="6"/>
      <c r="AM1066" s="39"/>
    </row>
    <row r="1067" spans="7:39" s="4" customFormat="1" x14ac:dyDescent="0.3">
      <c r="G1067" s="6"/>
      <c r="AM1067" s="39"/>
    </row>
    <row r="1068" spans="7:39" s="4" customFormat="1" x14ac:dyDescent="0.3">
      <c r="G1068" s="6"/>
      <c r="AM1068" s="39"/>
    </row>
    <row r="1069" spans="7:39" s="4" customFormat="1" x14ac:dyDescent="0.3">
      <c r="G1069" s="6"/>
      <c r="AM1069" s="39"/>
    </row>
    <row r="1070" spans="7:39" s="4" customFormat="1" x14ac:dyDescent="0.3">
      <c r="G1070" s="6"/>
      <c r="AM1070" s="39"/>
    </row>
    <row r="1071" spans="7:39" s="4" customFormat="1" x14ac:dyDescent="0.3">
      <c r="G1071" s="6"/>
      <c r="AM1071" s="39"/>
    </row>
    <row r="1072" spans="7:39" s="4" customFormat="1" x14ac:dyDescent="0.3">
      <c r="G1072" s="6"/>
      <c r="AM1072" s="39"/>
    </row>
    <row r="1073" spans="7:39" s="4" customFormat="1" x14ac:dyDescent="0.3">
      <c r="G1073" s="6"/>
      <c r="AM1073" s="39"/>
    </row>
    <row r="1074" spans="7:39" s="4" customFormat="1" x14ac:dyDescent="0.3">
      <c r="G1074" s="6"/>
      <c r="AM1074" s="39"/>
    </row>
    <row r="1075" spans="7:39" s="4" customFormat="1" x14ac:dyDescent="0.3">
      <c r="G1075" s="6"/>
      <c r="AM1075" s="39"/>
    </row>
    <row r="1076" spans="7:39" s="4" customFormat="1" x14ac:dyDescent="0.3">
      <c r="G1076" s="6"/>
      <c r="AM1076" s="39"/>
    </row>
    <row r="1077" spans="7:39" s="4" customFormat="1" x14ac:dyDescent="0.3">
      <c r="G1077" s="6"/>
      <c r="AM1077" s="39"/>
    </row>
    <row r="1078" spans="7:39" s="4" customFormat="1" x14ac:dyDescent="0.3">
      <c r="G1078" s="6"/>
      <c r="AM1078" s="39"/>
    </row>
    <row r="1079" spans="7:39" s="4" customFormat="1" x14ac:dyDescent="0.3">
      <c r="G1079" s="6"/>
      <c r="AM1079" s="39"/>
    </row>
    <row r="1080" spans="7:39" s="4" customFormat="1" x14ac:dyDescent="0.3">
      <c r="G1080" s="6"/>
      <c r="AM1080" s="39"/>
    </row>
    <row r="1081" spans="7:39" s="4" customFormat="1" x14ac:dyDescent="0.3">
      <c r="G1081" s="6"/>
      <c r="AM1081" s="39"/>
    </row>
    <row r="1082" spans="7:39" s="4" customFormat="1" x14ac:dyDescent="0.3">
      <c r="G1082" s="6"/>
      <c r="AM1082" s="39"/>
    </row>
    <row r="1083" spans="7:39" s="4" customFormat="1" x14ac:dyDescent="0.3">
      <c r="G1083" s="6"/>
      <c r="AM1083" s="39"/>
    </row>
    <row r="1084" spans="7:39" s="4" customFormat="1" x14ac:dyDescent="0.3">
      <c r="G1084" s="6"/>
      <c r="AM1084" s="39"/>
    </row>
    <row r="1085" spans="7:39" s="4" customFormat="1" x14ac:dyDescent="0.3">
      <c r="G1085" s="6"/>
      <c r="AM1085" s="39"/>
    </row>
    <row r="1086" spans="7:39" s="4" customFormat="1" x14ac:dyDescent="0.3">
      <c r="G1086" s="6"/>
      <c r="AM1086" s="39"/>
    </row>
    <row r="1087" spans="7:39" s="4" customFormat="1" x14ac:dyDescent="0.3">
      <c r="G1087" s="6"/>
      <c r="AM1087" s="39"/>
    </row>
    <row r="1088" spans="7:39" s="4" customFormat="1" x14ac:dyDescent="0.3">
      <c r="G1088" s="6"/>
      <c r="AM1088" s="39"/>
    </row>
    <row r="1089" spans="7:39" s="4" customFormat="1" x14ac:dyDescent="0.3">
      <c r="G1089" s="6"/>
      <c r="AM1089" s="39"/>
    </row>
    <row r="1090" spans="7:39" s="4" customFormat="1" x14ac:dyDescent="0.3">
      <c r="G1090" s="6"/>
      <c r="AM1090" s="39"/>
    </row>
    <row r="1091" spans="7:39" s="4" customFormat="1" x14ac:dyDescent="0.3">
      <c r="G1091" s="6"/>
      <c r="AM1091" s="39"/>
    </row>
    <row r="1092" spans="7:39" s="4" customFormat="1" x14ac:dyDescent="0.3">
      <c r="G1092" s="6"/>
      <c r="AM1092" s="39"/>
    </row>
    <row r="1093" spans="7:39" s="4" customFormat="1" x14ac:dyDescent="0.3">
      <c r="G1093" s="6"/>
      <c r="AM1093" s="39"/>
    </row>
    <row r="1094" spans="7:39" s="4" customFormat="1" x14ac:dyDescent="0.3">
      <c r="G1094" s="6"/>
      <c r="AM1094" s="39"/>
    </row>
    <row r="1095" spans="7:39" s="4" customFormat="1" x14ac:dyDescent="0.3">
      <c r="G1095" s="6"/>
      <c r="AM1095" s="39"/>
    </row>
    <row r="1096" spans="7:39" s="4" customFormat="1" x14ac:dyDescent="0.3">
      <c r="G1096" s="6"/>
      <c r="AM1096" s="39"/>
    </row>
    <row r="1097" spans="7:39" s="4" customFormat="1" x14ac:dyDescent="0.3">
      <c r="G1097" s="6"/>
      <c r="AM1097" s="39"/>
    </row>
    <row r="1098" spans="7:39" s="4" customFormat="1" x14ac:dyDescent="0.3">
      <c r="G1098" s="6"/>
      <c r="AM1098" s="39"/>
    </row>
    <row r="1099" spans="7:39" s="4" customFormat="1" x14ac:dyDescent="0.3">
      <c r="G1099" s="6"/>
      <c r="AM1099" s="39"/>
    </row>
    <row r="1100" spans="7:39" s="4" customFormat="1" x14ac:dyDescent="0.3">
      <c r="G1100" s="6"/>
      <c r="AM1100" s="39"/>
    </row>
    <row r="1101" spans="7:39" s="4" customFormat="1" x14ac:dyDescent="0.3">
      <c r="G1101" s="6"/>
      <c r="AM1101" s="39"/>
    </row>
    <row r="1102" spans="7:39" s="4" customFormat="1" x14ac:dyDescent="0.3">
      <c r="G1102" s="6"/>
      <c r="AM1102" s="39"/>
    </row>
    <row r="1103" spans="7:39" s="4" customFormat="1" x14ac:dyDescent="0.3">
      <c r="G1103" s="6"/>
      <c r="AM1103" s="39"/>
    </row>
    <row r="1104" spans="7:39" s="4" customFormat="1" x14ac:dyDescent="0.3">
      <c r="G1104" s="6"/>
      <c r="AM1104" s="39"/>
    </row>
    <row r="1105" spans="7:39" s="4" customFormat="1" x14ac:dyDescent="0.3">
      <c r="G1105" s="6"/>
      <c r="AM1105" s="39"/>
    </row>
    <row r="1106" spans="7:39" s="4" customFormat="1" x14ac:dyDescent="0.3">
      <c r="G1106" s="6"/>
      <c r="AM1106" s="39"/>
    </row>
    <row r="1107" spans="7:39" s="4" customFormat="1" x14ac:dyDescent="0.3">
      <c r="G1107" s="6"/>
      <c r="AM1107" s="39"/>
    </row>
    <row r="1108" spans="7:39" s="4" customFormat="1" x14ac:dyDescent="0.3">
      <c r="G1108" s="6"/>
      <c r="AM1108" s="39"/>
    </row>
    <row r="1109" spans="7:39" s="4" customFormat="1" x14ac:dyDescent="0.3">
      <c r="G1109" s="6"/>
      <c r="AM1109" s="39"/>
    </row>
    <row r="1110" spans="7:39" s="4" customFormat="1" x14ac:dyDescent="0.3">
      <c r="G1110" s="6"/>
      <c r="AM1110" s="39"/>
    </row>
    <row r="1111" spans="7:39" s="4" customFormat="1" x14ac:dyDescent="0.3">
      <c r="G1111" s="6"/>
      <c r="AM1111" s="39"/>
    </row>
    <row r="1112" spans="7:39" s="4" customFormat="1" x14ac:dyDescent="0.3">
      <c r="G1112" s="6"/>
      <c r="AM1112" s="39"/>
    </row>
    <row r="1113" spans="7:39" s="4" customFormat="1" x14ac:dyDescent="0.3">
      <c r="G1113" s="6"/>
      <c r="AM1113" s="39"/>
    </row>
    <row r="1114" spans="7:39" s="4" customFormat="1" x14ac:dyDescent="0.3">
      <c r="G1114" s="6"/>
      <c r="AM1114" s="39"/>
    </row>
    <row r="1115" spans="7:39" s="4" customFormat="1" x14ac:dyDescent="0.3">
      <c r="G1115" s="6"/>
      <c r="AM1115" s="39"/>
    </row>
    <row r="1116" spans="7:39" s="4" customFormat="1" x14ac:dyDescent="0.3">
      <c r="G1116" s="6"/>
      <c r="AM1116" s="39"/>
    </row>
    <row r="1117" spans="7:39" s="4" customFormat="1" x14ac:dyDescent="0.3">
      <c r="G1117" s="6"/>
      <c r="AM1117" s="39"/>
    </row>
    <row r="1118" spans="7:39" s="4" customFormat="1" x14ac:dyDescent="0.3">
      <c r="G1118" s="6"/>
      <c r="AM1118" s="39"/>
    </row>
    <row r="1119" spans="7:39" s="4" customFormat="1" x14ac:dyDescent="0.3">
      <c r="G1119" s="6"/>
      <c r="AM1119" s="39"/>
    </row>
    <row r="1120" spans="7:39" s="4" customFormat="1" x14ac:dyDescent="0.3">
      <c r="G1120" s="6"/>
      <c r="AM1120" s="39"/>
    </row>
    <row r="1121" spans="7:39" s="4" customFormat="1" x14ac:dyDescent="0.3">
      <c r="G1121" s="6"/>
      <c r="AM1121" s="39"/>
    </row>
    <row r="1122" spans="7:39" s="4" customFormat="1" x14ac:dyDescent="0.3">
      <c r="G1122" s="6"/>
      <c r="AM1122" s="39"/>
    </row>
    <row r="1123" spans="7:39" s="4" customFormat="1" x14ac:dyDescent="0.3">
      <c r="G1123" s="6"/>
      <c r="AM1123" s="39"/>
    </row>
    <row r="1124" spans="7:39" s="4" customFormat="1" x14ac:dyDescent="0.3">
      <c r="G1124" s="6"/>
      <c r="AM1124" s="39"/>
    </row>
    <row r="1125" spans="7:39" s="4" customFormat="1" x14ac:dyDescent="0.3">
      <c r="G1125" s="6"/>
      <c r="AM1125" s="39"/>
    </row>
    <row r="1126" spans="7:39" s="4" customFormat="1" x14ac:dyDescent="0.3">
      <c r="G1126" s="6"/>
      <c r="AM1126" s="39"/>
    </row>
    <row r="1127" spans="7:39" s="4" customFormat="1" x14ac:dyDescent="0.3">
      <c r="G1127" s="6"/>
      <c r="AM1127" s="39"/>
    </row>
    <row r="1128" spans="7:39" s="4" customFormat="1" x14ac:dyDescent="0.3">
      <c r="G1128" s="6"/>
      <c r="AM1128" s="39"/>
    </row>
    <row r="1129" spans="7:39" s="4" customFormat="1" x14ac:dyDescent="0.3">
      <c r="G1129" s="6"/>
      <c r="AM1129" s="39"/>
    </row>
    <row r="1130" spans="7:39" s="4" customFormat="1" x14ac:dyDescent="0.3">
      <c r="G1130" s="6"/>
      <c r="AM1130" s="39"/>
    </row>
    <row r="1131" spans="7:39" s="4" customFormat="1" x14ac:dyDescent="0.3">
      <c r="G1131" s="6"/>
      <c r="AM1131" s="39"/>
    </row>
    <row r="1132" spans="7:39" s="4" customFormat="1" x14ac:dyDescent="0.3">
      <c r="G1132" s="6"/>
      <c r="AM1132" s="39"/>
    </row>
    <row r="1133" spans="7:39" s="4" customFormat="1" x14ac:dyDescent="0.3">
      <c r="G1133" s="6"/>
      <c r="AM1133" s="39"/>
    </row>
    <row r="1134" spans="7:39" s="4" customFormat="1" x14ac:dyDescent="0.3">
      <c r="G1134" s="6"/>
      <c r="AM1134" s="39"/>
    </row>
    <row r="1135" spans="7:39" s="4" customFormat="1" x14ac:dyDescent="0.3">
      <c r="G1135" s="6"/>
      <c r="AM1135" s="39"/>
    </row>
    <row r="1136" spans="7:39" s="4" customFormat="1" x14ac:dyDescent="0.3">
      <c r="G1136" s="6"/>
      <c r="AM1136" s="39"/>
    </row>
    <row r="1137" spans="7:39" s="4" customFormat="1" x14ac:dyDescent="0.3">
      <c r="G1137" s="6"/>
      <c r="AM1137" s="39"/>
    </row>
    <row r="1138" spans="7:39" s="4" customFormat="1" x14ac:dyDescent="0.3">
      <c r="G1138" s="6"/>
      <c r="AM1138" s="39"/>
    </row>
    <row r="1139" spans="7:39" s="4" customFormat="1" x14ac:dyDescent="0.3">
      <c r="G1139" s="6"/>
      <c r="AM1139" s="39"/>
    </row>
    <row r="1140" spans="7:39" s="4" customFormat="1" x14ac:dyDescent="0.3">
      <c r="G1140" s="6"/>
      <c r="AM1140" s="39"/>
    </row>
    <row r="1141" spans="7:39" s="4" customFormat="1" x14ac:dyDescent="0.3">
      <c r="G1141" s="6"/>
      <c r="AM1141" s="39"/>
    </row>
    <row r="1142" spans="7:39" s="4" customFormat="1" x14ac:dyDescent="0.3">
      <c r="G1142" s="6"/>
      <c r="AM1142" s="39"/>
    </row>
    <row r="1143" spans="7:39" s="4" customFormat="1" x14ac:dyDescent="0.3">
      <c r="G1143" s="6"/>
      <c r="AM1143" s="39"/>
    </row>
    <row r="1144" spans="7:39" s="4" customFormat="1" x14ac:dyDescent="0.3">
      <c r="G1144" s="6"/>
      <c r="AM1144" s="39"/>
    </row>
    <row r="1145" spans="7:39" s="4" customFormat="1" x14ac:dyDescent="0.3">
      <c r="G1145" s="6"/>
      <c r="AM1145" s="39"/>
    </row>
    <row r="1146" spans="7:39" s="4" customFormat="1" x14ac:dyDescent="0.3">
      <c r="G1146" s="6"/>
      <c r="AM1146" s="39"/>
    </row>
    <row r="1147" spans="7:39" s="4" customFormat="1" x14ac:dyDescent="0.3">
      <c r="G1147" s="6"/>
      <c r="AM1147" s="39"/>
    </row>
    <row r="1148" spans="7:39" s="4" customFormat="1" x14ac:dyDescent="0.3">
      <c r="G1148" s="6"/>
      <c r="AM1148" s="39"/>
    </row>
    <row r="1149" spans="7:39" s="4" customFormat="1" x14ac:dyDescent="0.3">
      <c r="G1149" s="6"/>
      <c r="AM1149" s="39"/>
    </row>
    <row r="1150" spans="7:39" s="4" customFormat="1" x14ac:dyDescent="0.3">
      <c r="G1150" s="6"/>
      <c r="AM1150" s="39"/>
    </row>
    <row r="1151" spans="7:39" s="4" customFormat="1" x14ac:dyDescent="0.3">
      <c r="G1151" s="6"/>
      <c r="AM1151" s="39"/>
    </row>
    <row r="1152" spans="7:39" s="4" customFormat="1" x14ac:dyDescent="0.3">
      <c r="G1152" s="6"/>
      <c r="AM1152" s="39"/>
    </row>
    <row r="1153" spans="7:39" s="4" customFormat="1" x14ac:dyDescent="0.3">
      <c r="G1153" s="6"/>
      <c r="AM1153" s="39"/>
    </row>
    <row r="1154" spans="7:39" s="4" customFormat="1" x14ac:dyDescent="0.3">
      <c r="G1154" s="6"/>
      <c r="AM1154" s="39"/>
    </row>
    <row r="1155" spans="7:39" s="4" customFormat="1" x14ac:dyDescent="0.3">
      <c r="G1155" s="6"/>
      <c r="AM1155" s="39"/>
    </row>
    <row r="1156" spans="7:39" s="4" customFormat="1" x14ac:dyDescent="0.3">
      <c r="G1156" s="6"/>
      <c r="AM1156" s="39"/>
    </row>
    <row r="1157" spans="7:39" s="4" customFormat="1" x14ac:dyDescent="0.3">
      <c r="G1157" s="6"/>
      <c r="AM1157" s="39"/>
    </row>
    <row r="1158" spans="7:39" s="4" customFormat="1" x14ac:dyDescent="0.3">
      <c r="G1158" s="6"/>
      <c r="AM1158" s="39"/>
    </row>
    <row r="1159" spans="7:39" s="4" customFormat="1" x14ac:dyDescent="0.3">
      <c r="G1159" s="6"/>
      <c r="AM1159" s="39"/>
    </row>
    <row r="1160" spans="7:39" s="4" customFormat="1" x14ac:dyDescent="0.3">
      <c r="G1160" s="6"/>
      <c r="AM1160" s="39"/>
    </row>
    <row r="1161" spans="7:39" s="4" customFormat="1" x14ac:dyDescent="0.3">
      <c r="G1161" s="6"/>
      <c r="AM1161" s="39"/>
    </row>
    <row r="1162" spans="7:39" s="4" customFormat="1" x14ac:dyDescent="0.3">
      <c r="G1162" s="6"/>
      <c r="AM1162" s="39"/>
    </row>
    <row r="1163" spans="7:39" s="4" customFormat="1" x14ac:dyDescent="0.3">
      <c r="G1163" s="6"/>
      <c r="AM1163" s="39"/>
    </row>
    <row r="1164" spans="7:39" s="4" customFormat="1" x14ac:dyDescent="0.3">
      <c r="G1164" s="6"/>
      <c r="AM1164" s="39"/>
    </row>
    <row r="1165" spans="7:39" s="4" customFormat="1" x14ac:dyDescent="0.3">
      <c r="G1165" s="6"/>
      <c r="AM1165" s="39"/>
    </row>
    <row r="1166" spans="7:39" s="4" customFormat="1" x14ac:dyDescent="0.3">
      <c r="G1166" s="6"/>
      <c r="AM1166" s="39"/>
    </row>
    <row r="1167" spans="7:39" s="4" customFormat="1" x14ac:dyDescent="0.3">
      <c r="G1167" s="6"/>
      <c r="AM1167" s="39"/>
    </row>
    <row r="1168" spans="7:39" s="4" customFormat="1" x14ac:dyDescent="0.3">
      <c r="G1168" s="6"/>
      <c r="AM1168" s="39"/>
    </row>
    <row r="1169" spans="7:39" s="4" customFormat="1" x14ac:dyDescent="0.3">
      <c r="G1169" s="6"/>
      <c r="AM1169" s="39"/>
    </row>
    <row r="1170" spans="7:39" s="4" customFormat="1" x14ac:dyDescent="0.3">
      <c r="G1170" s="6"/>
      <c r="AM1170" s="39"/>
    </row>
    <row r="1171" spans="7:39" s="4" customFormat="1" x14ac:dyDescent="0.3">
      <c r="G1171" s="6"/>
      <c r="AM1171" s="39"/>
    </row>
    <row r="1172" spans="7:39" s="4" customFormat="1" x14ac:dyDescent="0.3">
      <c r="G1172" s="6"/>
      <c r="AM1172" s="39"/>
    </row>
    <row r="1173" spans="7:39" s="4" customFormat="1" x14ac:dyDescent="0.3">
      <c r="G1173" s="6"/>
      <c r="AM1173" s="39"/>
    </row>
    <row r="1174" spans="7:39" s="4" customFormat="1" x14ac:dyDescent="0.3">
      <c r="G1174" s="6"/>
      <c r="AM1174" s="39"/>
    </row>
    <row r="1175" spans="7:39" s="4" customFormat="1" x14ac:dyDescent="0.3">
      <c r="G1175" s="6"/>
      <c r="AM1175" s="39"/>
    </row>
    <row r="1176" spans="7:39" s="4" customFormat="1" x14ac:dyDescent="0.3">
      <c r="G1176" s="6"/>
      <c r="AM1176" s="39"/>
    </row>
    <row r="1177" spans="7:39" s="4" customFormat="1" x14ac:dyDescent="0.3">
      <c r="G1177" s="6"/>
      <c r="AM1177" s="39"/>
    </row>
    <row r="1178" spans="7:39" s="4" customFormat="1" x14ac:dyDescent="0.3">
      <c r="G1178" s="6"/>
      <c r="AM1178" s="39"/>
    </row>
    <row r="1179" spans="7:39" s="4" customFormat="1" x14ac:dyDescent="0.3">
      <c r="G1179" s="6"/>
      <c r="AM1179" s="39"/>
    </row>
    <row r="1180" spans="7:39" s="4" customFormat="1" x14ac:dyDescent="0.3">
      <c r="G1180" s="6"/>
      <c r="AM1180" s="39"/>
    </row>
    <row r="1181" spans="7:39" s="4" customFormat="1" x14ac:dyDescent="0.3">
      <c r="G1181" s="6"/>
      <c r="AM1181" s="39"/>
    </row>
    <row r="1182" spans="7:39" s="4" customFormat="1" x14ac:dyDescent="0.3">
      <c r="G1182" s="6"/>
      <c r="AM1182" s="39"/>
    </row>
    <row r="1183" spans="7:39" s="4" customFormat="1" x14ac:dyDescent="0.3">
      <c r="G1183" s="6"/>
      <c r="AM1183" s="39"/>
    </row>
    <row r="1184" spans="7:39" s="4" customFormat="1" x14ac:dyDescent="0.3">
      <c r="G1184" s="6"/>
      <c r="AM1184" s="39"/>
    </row>
    <row r="1185" spans="7:39" s="4" customFormat="1" x14ac:dyDescent="0.3">
      <c r="G1185" s="6"/>
      <c r="AM1185" s="39"/>
    </row>
    <row r="1186" spans="7:39" s="4" customFormat="1" x14ac:dyDescent="0.3">
      <c r="G1186" s="6"/>
      <c r="AM1186" s="39"/>
    </row>
    <row r="1187" spans="7:39" s="4" customFormat="1" x14ac:dyDescent="0.3">
      <c r="G1187" s="6"/>
      <c r="AM1187" s="39"/>
    </row>
    <row r="1188" spans="7:39" s="4" customFormat="1" x14ac:dyDescent="0.3">
      <c r="G1188" s="6"/>
      <c r="AM1188" s="39"/>
    </row>
    <row r="1189" spans="7:39" s="4" customFormat="1" x14ac:dyDescent="0.3">
      <c r="G1189" s="6"/>
      <c r="AM1189" s="39"/>
    </row>
    <row r="1190" spans="7:39" s="4" customFormat="1" x14ac:dyDescent="0.3">
      <c r="G1190" s="6"/>
      <c r="AM1190" s="39"/>
    </row>
    <row r="1191" spans="7:39" s="4" customFormat="1" x14ac:dyDescent="0.3">
      <c r="G1191" s="6"/>
      <c r="AM1191" s="39"/>
    </row>
    <row r="1192" spans="7:39" s="4" customFormat="1" x14ac:dyDescent="0.3">
      <c r="G1192" s="6"/>
      <c r="AM1192" s="39"/>
    </row>
    <row r="1193" spans="7:39" s="4" customFormat="1" x14ac:dyDescent="0.3">
      <c r="G1193" s="6"/>
      <c r="AM1193" s="39"/>
    </row>
    <row r="1194" spans="7:39" s="4" customFormat="1" x14ac:dyDescent="0.3">
      <c r="G1194" s="6"/>
      <c r="AM1194" s="39"/>
    </row>
    <row r="1195" spans="7:39" s="4" customFormat="1" x14ac:dyDescent="0.3">
      <c r="G1195" s="6"/>
      <c r="AM1195" s="39"/>
    </row>
    <row r="1196" spans="7:39" s="4" customFormat="1" x14ac:dyDescent="0.3">
      <c r="G1196" s="6"/>
      <c r="AM1196" s="39"/>
    </row>
    <row r="1197" spans="7:39" s="4" customFormat="1" x14ac:dyDescent="0.3">
      <c r="G1197" s="6"/>
      <c r="AM1197" s="39"/>
    </row>
    <row r="1198" spans="7:39" s="4" customFormat="1" x14ac:dyDescent="0.3">
      <c r="G1198" s="6"/>
      <c r="AM1198" s="39"/>
    </row>
    <row r="1199" spans="7:39" s="4" customFormat="1" x14ac:dyDescent="0.3">
      <c r="G1199" s="6"/>
      <c r="AM1199" s="39"/>
    </row>
    <row r="1200" spans="7:39" s="4" customFormat="1" x14ac:dyDescent="0.3">
      <c r="G1200" s="6"/>
      <c r="AM1200" s="39"/>
    </row>
    <row r="1201" spans="7:39" s="4" customFormat="1" x14ac:dyDescent="0.3">
      <c r="G1201" s="6"/>
      <c r="AM1201" s="39"/>
    </row>
    <row r="1202" spans="7:39" s="4" customFormat="1" x14ac:dyDescent="0.3">
      <c r="G1202" s="6"/>
      <c r="AM1202" s="39"/>
    </row>
    <row r="1203" spans="7:39" s="4" customFormat="1" x14ac:dyDescent="0.3">
      <c r="G1203" s="6"/>
      <c r="AM1203" s="39"/>
    </row>
    <row r="1204" spans="7:39" s="4" customFormat="1" x14ac:dyDescent="0.3">
      <c r="G1204" s="6"/>
      <c r="AM1204" s="39"/>
    </row>
    <row r="1205" spans="7:39" s="4" customFormat="1" x14ac:dyDescent="0.3">
      <c r="G1205" s="6"/>
      <c r="AM1205" s="39"/>
    </row>
    <row r="1206" spans="7:39" s="4" customFormat="1" x14ac:dyDescent="0.3">
      <c r="G1206" s="6"/>
      <c r="AM1206" s="39"/>
    </row>
    <row r="1207" spans="7:39" s="4" customFormat="1" x14ac:dyDescent="0.3">
      <c r="G1207" s="6"/>
      <c r="AM1207" s="39"/>
    </row>
    <row r="1208" spans="7:39" s="4" customFormat="1" x14ac:dyDescent="0.3">
      <c r="G1208" s="6"/>
      <c r="AM1208" s="39"/>
    </row>
    <row r="1209" spans="7:39" s="4" customFormat="1" x14ac:dyDescent="0.3">
      <c r="G1209" s="6"/>
      <c r="AM1209" s="39"/>
    </row>
    <row r="1210" spans="7:39" s="4" customFormat="1" x14ac:dyDescent="0.3">
      <c r="G1210" s="6"/>
      <c r="AM1210" s="39"/>
    </row>
    <row r="1211" spans="7:39" s="4" customFormat="1" x14ac:dyDescent="0.3">
      <c r="G1211" s="6"/>
      <c r="AM1211" s="39"/>
    </row>
    <row r="1212" spans="7:39" s="4" customFormat="1" x14ac:dyDescent="0.3">
      <c r="G1212" s="6"/>
      <c r="AM1212" s="39"/>
    </row>
    <row r="1213" spans="7:39" s="4" customFormat="1" x14ac:dyDescent="0.3">
      <c r="G1213" s="6"/>
      <c r="AM1213" s="39"/>
    </row>
    <row r="1214" spans="7:39" s="4" customFormat="1" x14ac:dyDescent="0.3">
      <c r="G1214" s="6"/>
      <c r="AM1214" s="39"/>
    </row>
    <row r="1215" spans="7:39" s="4" customFormat="1" x14ac:dyDescent="0.3">
      <c r="G1215" s="6"/>
      <c r="AM1215" s="39"/>
    </row>
    <row r="1216" spans="7:39" s="4" customFormat="1" x14ac:dyDescent="0.3">
      <c r="G1216" s="6"/>
      <c r="AM1216" s="39"/>
    </row>
    <row r="1217" spans="7:39" s="4" customFormat="1" x14ac:dyDescent="0.3">
      <c r="G1217" s="6"/>
      <c r="AM1217" s="39"/>
    </row>
    <row r="1218" spans="7:39" s="4" customFormat="1" x14ac:dyDescent="0.3">
      <c r="G1218" s="6"/>
      <c r="AM1218" s="39"/>
    </row>
    <row r="1219" spans="7:39" s="4" customFormat="1" x14ac:dyDescent="0.3">
      <c r="G1219" s="6"/>
      <c r="AM1219" s="39"/>
    </row>
    <row r="1220" spans="7:39" s="4" customFormat="1" x14ac:dyDescent="0.3">
      <c r="G1220" s="6"/>
      <c r="AM1220" s="39"/>
    </row>
    <row r="1221" spans="7:39" s="4" customFormat="1" x14ac:dyDescent="0.3">
      <c r="G1221" s="6"/>
      <c r="AM1221" s="39"/>
    </row>
    <row r="1222" spans="7:39" s="4" customFormat="1" x14ac:dyDescent="0.3">
      <c r="G1222" s="6"/>
      <c r="AM1222" s="39"/>
    </row>
    <row r="1223" spans="7:39" s="4" customFormat="1" x14ac:dyDescent="0.3">
      <c r="G1223" s="6"/>
      <c r="AM1223" s="39"/>
    </row>
    <row r="1224" spans="7:39" s="4" customFormat="1" x14ac:dyDescent="0.3">
      <c r="G1224" s="6"/>
      <c r="AM1224" s="39"/>
    </row>
    <row r="1225" spans="7:39" s="4" customFormat="1" x14ac:dyDescent="0.3">
      <c r="G1225" s="6"/>
      <c r="AM1225" s="39"/>
    </row>
    <row r="1226" spans="7:39" s="4" customFormat="1" x14ac:dyDescent="0.3">
      <c r="G1226" s="6"/>
      <c r="AM1226" s="39"/>
    </row>
    <row r="1227" spans="7:39" s="4" customFormat="1" x14ac:dyDescent="0.3">
      <c r="G1227" s="6"/>
      <c r="AM1227" s="39"/>
    </row>
    <row r="1228" spans="7:39" s="4" customFormat="1" x14ac:dyDescent="0.3">
      <c r="G1228" s="6"/>
      <c r="AM1228" s="39"/>
    </row>
    <row r="1229" spans="7:39" s="4" customFormat="1" x14ac:dyDescent="0.3">
      <c r="G1229" s="6"/>
      <c r="AM1229" s="39"/>
    </row>
    <row r="1230" spans="7:39" s="4" customFormat="1" x14ac:dyDescent="0.3">
      <c r="G1230" s="6"/>
      <c r="AM1230" s="39"/>
    </row>
    <row r="1231" spans="7:39" s="4" customFormat="1" x14ac:dyDescent="0.3">
      <c r="G1231" s="6"/>
      <c r="AM1231" s="39"/>
    </row>
    <row r="1232" spans="7:39" s="4" customFormat="1" x14ac:dyDescent="0.3">
      <c r="G1232" s="6"/>
      <c r="AM1232" s="39"/>
    </row>
    <row r="1233" spans="7:39" s="4" customFormat="1" x14ac:dyDescent="0.3">
      <c r="G1233" s="6"/>
      <c r="AM1233" s="39"/>
    </row>
    <row r="1234" spans="7:39" s="4" customFormat="1" x14ac:dyDescent="0.3">
      <c r="G1234" s="6"/>
      <c r="AM1234" s="39"/>
    </row>
    <row r="1235" spans="7:39" s="4" customFormat="1" x14ac:dyDescent="0.3">
      <c r="G1235" s="6"/>
      <c r="AM1235" s="39"/>
    </row>
    <row r="1236" spans="7:39" s="4" customFormat="1" x14ac:dyDescent="0.3">
      <c r="G1236" s="6"/>
      <c r="AM1236" s="39"/>
    </row>
    <row r="1237" spans="7:39" s="4" customFormat="1" x14ac:dyDescent="0.3">
      <c r="G1237" s="6"/>
      <c r="AM1237" s="39"/>
    </row>
    <row r="1238" spans="7:39" s="4" customFormat="1" x14ac:dyDescent="0.3">
      <c r="G1238" s="6"/>
      <c r="AM1238" s="39"/>
    </row>
    <row r="1239" spans="7:39" s="4" customFormat="1" x14ac:dyDescent="0.3">
      <c r="G1239" s="6"/>
      <c r="AM1239" s="39"/>
    </row>
    <row r="1240" spans="7:39" s="4" customFormat="1" x14ac:dyDescent="0.3">
      <c r="G1240" s="6"/>
      <c r="AM1240" s="39"/>
    </row>
    <row r="1241" spans="7:39" s="4" customFormat="1" x14ac:dyDescent="0.3">
      <c r="G1241" s="6"/>
      <c r="AM1241" s="39"/>
    </row>
    <row r="1242" spans="7:39" s="4" customFormat="1" x14ac:dyDescent="0.3">
      <c r="G1242" s="6"/>
      <c r="AM1242" s="39"/>
    </row>
    <row r="1243" spans="7:39" s="4" customFormat="1" x14ac:dyDescent="0.3">
      <c r="G1243" s="6"/>
      <c r="AM1243" s="39"/>
    </row>
    <row r="1244" spans="7:39" s="4" customFormat="1" x14ac:dyDescent="0.3">
      <c r="G1244" s="6"/>
      <c r="AM1244" s="39"/>
    </row>
    <row r="1245" spans="7:39" s="4" customFormat="1" x14ac:dyDescent="0.3">
      <c r="G1245" s="6"/>
      <c r="AM1245" s="39"/>
    </row>
    <row r="1246" spans="7:39" s="4" customFormat="1" x14ac:dyDescent="0.3">
      <c r="G1246" s="6"/>
      <c r="AM1246" s="39"/>
    </row>
    <row r="1247" spans="7:39" s="4" customFormat="1" x14ac:dyDescent="0.3">
      <c r="G1247" s="6"/>
      <c r="AM1247" s="39"/>
    </row>
    <row r="1248" spans="7:39" s="4" customFormat="1" x14ac:dyDescent="0.3">
      <c r="G1248" s="6"/>
      <c r="AM1248" s="39"/>
    </row>
    <row r="1249" spans="7:39" s="4" customFormat="1" x14ac:dyDescent="0.3">
      <c r="G1249" s="6"/>
      <c r="AM1249" s="39"/>
    </row>
    <row r="1250" spans="7:39" s="4" customFormat="1" x14ac:dyDescent="0.3">
      <c r="G1250" s="6"/>
      <c r="AM1250" s="39"/>
    </row>
    <row r="1251" spans="7:39" s="4" customFormat="1" x14ac:dyDescent="0.3">
      <c r="G1251" s="6"/>
      <c r="AM1251" s="39"/>
    </row>
    <row r="1252" spans="7:39" s="4" customFormat="1" x14ac:dyDescent="0.3">
      <c r="G1252" s="6"/>
      <c r="AM1252" s="39"/>
    </row>
    <row r="1253" spans="7:39" s="4" customFormat="1" x14ac:dyDescent="0.3">
      <c r="G1253" s="6"/>
      <c r="AM1253" s="39"/>
    </row>
    <row r="1254" spans="7:39" s="4" customFormat="1" x14ac:dyDescent="0.3">
      <c r="G1254" s="6"/>
      <c r="AM1254" s="39"/>
    </row>
    <row r="1255" spans="7:39" s="4" customFormat="1" x14ac:dyDescent="0.3">
      <c r="G1255" s="6"/>
      <c r="AM1255" s="39"/>
    </row>
    <row r="1256" spans="7:39" s="4" customFormat="1" x14ac:dyDescent="0.3">
      <c r="G1256" s="6"/>
      <c r="AM1256" s="39"/>
    </row>
    <row r="1257" spans="7:39" s="4" customFormat="1" x14ac:dyDescent="0.3">
      <c r="G1257" s="6"/>
      <c r="AM1257" s="39"/>
    </row>
    <row r="1258" spans="7:39" s="4" customFormat="1" x14ac:dyDescent="0.3">
      <c r="G1258" s="6"/>
      <c r="AM1258" s="39"/>
    </row>
    <row r="1259" spans="7:39" s="4" customFormat="1" x14ac:dyDescent="0.3">
      <c r="G1259" s="6"/>
      <c r="AM1259" s="39"/>
    </row>
    <row r="1260" spans="7:39" s="4" customFormat="1" x14ac:dyDescent="0.3">
      <c r="G1260" s="6"/>
      <c r="AM1260" s="39"/>
    </row>
    <row r="1261" spans="7:39" s="4" customFormat="1" x14ac:dyDescent="0.3">
      <c r="G1261" s="6"/>
      <c r="AM1261" s="39"/>
    </row>
    <row r="1262" spans="7:39" s="4" customFormat="1" x14ac:dyDescent="0.3">
      <c r="G1262" s="6"/>
      <c r="AM1262" s="39"/>
    </row>
    <row r="1263" spans="7:39" s="4" customFormat="1" x14ac:dyDescent="0.3">
      <c r="G1263" s="6"/>
      <c r="AM1263" s="39"/>
    </row>
    <row r="1264" spans="7:39" s="4" customFormat="1" x14ac:dyDescent="0.3">
      <c r="G1264" s="6"/>
      <c r="AM1264" s="39"/>
    </row>
    <row r="1265" spans="7:39" s="4" customFormat="1" x14ac:dyDescent="0.3">
      <c r="G1265" s="6"/>
      <c r="AM1265" s="39"/>
    </row>
    <row r="1266" spans="7:39" s="4" customFormat="1" x14ac:dyDescent="0.3">
      <c r="G1266" s="6"/>
      <c r="AM1266" s="39"/>
    </row>
    <row r="1267" spans="7:39" s="4" customFormat="1" x14ac:dyDescent="0.3">
      <c r="G1267" s="6"/>
      <c r="AM1267" s="39"/>
    </row>
    <row r="1268" spans="7:39" s="4" customFormat="1" x14ac:dyDescent="0.3">
      <c r="G1268" s="6"/>
      <c r="AM1268" s="39"/>
    </row>
    <row r="1269" spans="7:39" s="4" customFormat="1" x14ac:dyDescent="0.3">
      <c r="G1269" s="6"/>
      <c r="AM1269" s="39"/>
    </row>
    <row r="1270" spans="7:39" s="4" customFormat="1" x14ac:dyDescent="0.3">
      <c r="G1270" s="6"/>
      <c r="AM1270" s="39"/>
    </row>
    <row r="1271" spans="7:39" s="4" customFormat="1" x14ac:dyDescent="0.3">
      <c r="G1271" s="6"/>
      <c r="AM1271" s="39"/>
    </row>
    <row r="1272" spans="7:39" s="4" customFormat="1" x14ac:dyDescent="0.3">
      <c r="G1272" s="6"/>
      <c r="AM1272" s="39"/>
    </row>
    <row r="1273" spans="7:39" s="4" customFormat="1" x14ac:dyDescent="0.3">
      <c r="G1273" s="6"/>
      <c r="AM1273" s="39"/>
    </row>
    <row r="1274" spans="7:39" s="4" customFormat="1" x14ac:dyDescent="0.3">
      <c r="G1274" s="6"/>
      <c r="AM1274" s="39"/>
    </row>
    <row r="1275" spans="7:39" s="4" customFormat="1" x14ac:dyDescent="0.3">
      <c r="G1275" s="6"/>
      <c r="AM1275" s="39"/>
    </row>
    <row r="1276" spans="7:39" s="4" customFormat="1" x14ac:dyDescent="0.3">
      <c r="G1276" s="6"/>
      <c r="AM1276" s="39"/>
    </row>
    <row r="1277" spans="7:39" s="4" customFormat="1" x14ac:dyDescent="0.3">
      <c r="G1277" s="6"/>
      <c r="AM1277" s="39"/>
    </row>
    <row r="1278" spans="7:39" s="4" customFormat="1" x14ac:dyDescent="0.3">
      <c r="G1278" s="6"/>
      <c r="AM1278" s="39"/>
    </row>
    <row r="1279" spans="7:39" s="4" customFormat="1" x14ac:dyDescent="0.3">
      <c r="G1279" s="6"/>
      <c r="AM1279" s="39"/>
    </row>
    <row r="1280" spans="7:39" s="4" customFormat="1" x14ac:dyDescent="0.3">
      <c r="G1280" s="6"/>
      <c r="AM1280" s="39"/>
    </row>
    <row r="1281" spans="7:39" s="4" customFormat="1" x14ac:dyDescent="0.3">
      <c r="G1281" s="6"/>
      <c r="AM1281" s="39"/>
    </row>
    <row r="1282" spans="7:39" s="4" customFormat="1" x14ac:dyDescent="0.3">
      <c r="G1282" s="6"/>
      <c r="AM1282" s="39"/>
    </row>
    <row r="1283" spans="7:39" s="4" customFormat="1" x14ac:dyDescent="0.3">
      <c r="G1283" s="6"/>
      <c r="AM1283" s="39"/>
    </row>
    <row r="1284" spans="7:39" s="4" customFormat="1" x14ac:dyDescent="0.3">
      <c r="G1284" s="6"/>
      <c r="AM1284" s="39"/>
    </row>
    <row r="1285" spans="7:39" s="4" customFormat="1" x14ac:dyDescent="0.3">
      <c r="G1285" s="6"/>
      <c r="AM1285" s="39"/>
    </row>
    <row r="1286" spans="7:39" s="4" customFormat="1" x14ac:dyDescent="0.3">
      <c r="G1286" s="6"/>
      <c r="AM1286" s="39"/>
    </row>
    <row r="1287" spans="7:39" s="4" customFormat="1" x14ac:dyDescent="0.3">
      <c r="G1287" s="6"/>
      <c r="AM1287" s="39"/>
    </row>
    <row r="1288" spans="7:39" s="4" customFormat="1" x14ac:dyDescent="0.3">
      <c r="G1288" s="6"/>
      <c r="AM1288" s="39"/>
    </row>
    <row r="1289" spans="7:39" s="4" customFormat="1" x14ac:dyDescent="0.3">
      <c r="G1289" s="6"/>
      <c r="AM1289" s="39"/>
    </row>
    <row r="1290" spans="7:39" s="4" customFormat="1" x14ac:dyDescent="0.3">
      <c r="G1290" s="6"/>
      <c r="AM1290" s="39"/>
    </row>
    <row r="1291" spans="7:39" s="4" customFormat="1" x14ac:dyDescent="0.3">
      <c r="G1291" s="6"/>
      <c r="AM1291" s="39"/>
    </row>
    <row r="1292" spans="7:39" s="4" customFormat="1" x14ac:dyDescent="0.3">
      <c r="G1292" s="6"/>
      <c r="AM1292" s="39"/>
    </row>
    <row r="1293" spans="7:39" s="4" customFormat="1" x14ac:dyDescent="0.3">
      <c r="G1293" s="6"/>
      <c r="AM1293" s="39"/>
    </row>
    <row r="1294" spans="7:39" s="4" customFormat="1" x14ac:dyDescent="0.3">
      <c r="G1294" s="6"/>
      <c r="AM1294" s="39"/>
    </row>
    <row r="1295" spans="7:39" s="4" customFormat="1" x14ac:dyDescent="0.3">
      <c r="G1295" s="6"/>
      <c r="AM1295" s="39"/>
    </row>
    <row r="1296" spans="7:39" s="4" customFormat="1" x14ac:dyDescent="0.3">
      <c r="G1296" s="6"/>
      <c r="AM1296" s="39"/>
    </row>
    <row r="1297" spans="7:39" s="4" customFormat="1" x14ac:dyDescent="0.3">
      <c r="G1297" s="6"/>
      <c r="AM1297" s="39"/>
    </row>
    <row r="1298" spans="7:39" s="4" customFormat="1" x14ac:dyDescent="0.3">
      <c r="G1298" s="6"/>
      <c r="AM1298" s="39"/>
    </row>
    <row r="1299" spans="7:39" s="4" customFormat="1" x14ac:dyDescent="0.3">
      <c r="G1299" s="6"/>
      <c r="AM1299" s="39"/>
    </row>
    <row r="1300" spans="7:39" s="4" customFormat="1" x14ac:dyDescent="0.3">
      <c r="G1300" s="6"/>
      <c r="AM1300" s="39"/>
    </row>
    <row r="1301" spans="7:39" s="4" customFormat="1" x14ac:dyDescent="0.3">
      <c r="G1301" s="6"/>
      <c r="AM1301" s="39"/>
    </row>
    <row r="1302" spans="7:39" s="4" customFormat="1" x14ac:dyDescent="0.3">
      <c r="G1302" s="6"/>
      <c r="AM1302" s="39"/>
    </row>
    <row r="1303" spans="7:39" s="4" customFormat="1" x14ac:dyDescent="0.3">
      <c r="G1303" s="6"/>
      <c r="AM1303" s="39"/>
    </row>
    <row r="1304" spans="7:39" s="4" customFormat="1" x14ac:dyDescent="0.3">
      <c r="G1304" s="6"/>
      <c r="AM1304" s="39"/>
    </row>
    <row r="1305" spans="7:39" s="4" customFormat="1" x14ac:dyDescent="0.3">
      <c r="G1305" s="6"/>
      <c r="AM1305" s="39"/>
    </row>
    <row r="1306" spans="7:39" s="4" customFormat="1" x14ac:dyDescent="0.3">
      <c r="G1306" s="6"/>
      <c r="AM1306" s="39"/>
    </row>
    <row r="1307" spans="7:39" s="4" customFormat="1" x14ac:dyDescent="0.3">
      <c r="G1307" s="6"/>
      <c r="AM1307" s="39"/>
    </row>
    <row r="1308" spans="7:39" s="4" customFormat="1" x14ac:dyDescent="0.3">
      <c r="G1308" s="6"/>
      <c r="AM1308" s="39"/>
    </row>
    <row r="1309" spans="7:39" s="4" customFormat="1" x14ac:dyDescent="0.3">
      <c r="G1309" s="6"/>
      <c r="AM1309" s="39"/>
    </row>
    <row r="1310" spans="7:39" s="4" customFormat="1" x14ac:dyDescent="0.3">
      <c r="G1310" s="6"/>
      <c r="AM1310" s="39"/>
    </row>
    <row r="1311" spans="7:39" s="4" customFormat="1" x14ac:dyDescent="0.3">
      <c r="G1311" s="6"/>
      <c r="AM1311" s="39"/>
    </row>
    <row r="1312" spans="7:39" s="4" customFormat="1" x14ac:dyDescent="0.3">
      <c r="G1312" s="6"/>
      <c r="AM1312" s="39"/>
    </row>
    <row r="1313" spans="7:39" s="4" customFormat="1" x14ac:dyDescent="0.3">
      <c r="G1313" s="6"/>
      <c r="AM1313" s="39"/>
    </row>
    <row r="1314" spans="7:39" s="4" customFormat="1" x14ac:dyDescent="0.3">
      <c r="G1314" s="6"/>
      <c r="AM1314" s="39"/>
    </row>
    <row r="1315" spans="7:39" s="4" customFormat="1" x14ac:dyDescent="0.3">
      <c r="G1315" s="6"/>
      <c r="AM1315" s="39"/>
    </row>
    <row r="1316" spans="7:39" s="4" customFormat="1" x14ac:dyDescent="0.3">
      <c r="G1316" s="6"/>
      <c r="AM1316" s="39"/>
    </row>
    <row r="1317" spans="7:39" s="4" customFormat="1" x14ac:dyDescent="0.3">
      <c r="G1317" s="6"/>
      <c r="AM1317" s="39"/>
    </row>
    <row r="1318" spans="7:39" s="4" customFormat="1" x14ac:dyDescent="0.3">
      <c r="G1318" s="6"/>
      <c r="AM1318" s="39"/>
    </row>
    <row r="1319" spans="7:39" s="4" customFormat="1" x14ac:dyDescent="0.3">
      <c r="G1319" s="6"/>
      <c r="AM1319" s="39"/>
    </row>
    <row r="1320" spans="7:39" s="4" customFormat="1" x14ac:dyDescent="0.3">
      <c r="G1320" s="6"/>
      <c r="AM1320" s="39"/>
    </row>
    <row r="1321" spans="7:39" s="4" customFormat="1" x14ac:dyDescent="0.3">
      <c r="G1321" s="6"/>
      <c r="AM1321" s="39"/>
    </row>
    <row r="1322" spans="7:39" s="4" customFormat="1" x14ac:dyDescent="0.3">
      <c r="G1322" s="6"/>
      <c r="AM1322" s="39"/>
    </row>
    <row r="1323" spans="7:39" s="4" customFormat="1" x14ac:dyDescent="0.3">
      <c r="G1323" s="6"/>
      <c r="AM1323" s="39"/>
    </row>
    <row r="1324" spans="7:39" s="4" customFormat="1" x14ac:dyDescent="0.3">
      <c r="G1324" s="6"/>
      <c r="AM1324" s="39"/>
    </row>
    <row r="1325" spans="7:39" s="4" customFormat="1" x14ac:dyDescent="0.3">
      <c r="G1325" s="6"/>
      <c r="AM1325" s="39"/>
    </row>
    <row r="1326" spans="7:39" s="4" customFormat="1" x14ac:dyDescent="0.3">
      <c r="G1326" s="6"/>
      <c r="AM1326" s="39"/>
    </row>
    <row r="1327" spans="7:39" s="4" customFormat="1" x14ac:dyDescent="0.3">
      <c r="G1327" s="6"/>
      <c r="AM1327" s="39"/>
    </row>
    <row r="1328" spans="7:39" s="4" customFormat="1" x14ac:dyDescent="0.3">
      <c r="G1328" s="6"/>
      <c r="AM1328" s="39"/>
    </row>
    <row r="1329" spans="7:39" s="4" customFormat="1" x14ac:dyDescent="0.3">
      <c r="G1329" s="6"/>
      <c r="AM1329" s="39"/>
    </row>
    <row r="1330" spans="7:39" s="4" customFormat="1" x14ac:dyDescent="0.3">
      <c r="G1330" s="6"/>
      <c r="AM1330" s="39"/>
    </row>
    <row r="1331" spans="7:39" s="4" customFormat="1" x14ac:dyDescent="0.3">
      <c r="G1331" s="6"/>
      <c r="AM1331" s="39"/>
    </row>
    <row r="1332" spans="7:39" s="4" customFormat="1" x14ac:dyDescent="0.3">
      <c r="G1332" s="6"/>
      <c r="AM1332" s="39"/>
    </row>
    <row r="1333" spans="7:39" s="4" customFormat="1" x14ac:dyDescent="0.3">
      <c r="G1333" s="6"/>
      <c r="AM1333" s="39"/>
    </row>
    <row r="1334" spans="7:39" s="4" customFormat="1" x14ac:dyDescent="0.3">
      <c r="G1334" s="6"/>
      <c r="AM1334" s="39"/>
    </row>
    <row r="1335" spans="7:39" s="4" customFormat="1" x14ac:dyDescent="0.3">
      <c r="G1335" s="6"/>
      <c r="AM1335" s="39"/>
    </row>
    <row r="1336" spans="7:39" s="4" customFormat="1" x14ac:dyDescent="0.3">
      <c r="G1336" s="6"/>
      <c r="AM1336" s="39"/>
    </row>
    <row r="1337" spans="7:39" s="4" customFormat="1" x14ac:dyDescent="0.3">
      <c r="G1337" s="6"/>
      <c r="AM1337" s="39"/>
    </row>
    <row r="1338" spans="7:39" s="4" customFormat="1" x14ac:dyDescent="0.3">
      <c r="G1338" s="6"/>
      <c r="AM1338" s="39"/>
    </row>
    <row r="1339" spans="7:39" s="4" customFormat="1" x14ac:dyDescent="0.3">
      <c r="G1339" s="6"/>
      <c r="AM1339" s="39"/>
    </row>
    <row r="1340" spans="7:39" s="4" customFormat="1" x14ac:dyDescent="0.3">
      <c r="G1340" s="6"/>
      <c r="AM1340" s="39"/>
    </row>
    <row r="1341" spans="7:39" s="4" customFormat="1" x14ac:dyDescent="0.3">
      <c r="G1341" s="6"/>
      <c r="AM1341" s="39"/>
    </row>
    <row r="1342" spans="7:39" s="4" customFormat="1" x14ac:dyDescent="0.3">
      <c r="G1342" s="6"/>
      <c r="AM1342" s="39"/>
    </row>
    <row r="1343" spans="7:39" s="4" customFormat="1" x14ac:dyDescent="0.3">
      <c r="G1343" s="6"/>
      <c r="AM1343" s="39"/>
    </row>
    <row r="1344" spans="7:39" s="4" customFormat="1" x14ac:dyDescent="0.3">
      <c r="G1344" s="6"/>
      <c r="AM1344" s="39"/>
    </row>
    <row r="1345" spans="7:39" s="4" customFormat="1" x14ac:dyDescent="0.3">
      <c r="G1345" s="6"/>
      <c r="AM1345" s="39"/>
    </row>
    <row r="1346" spans="7:39" s="4" customFormat="1" x14ac:dyDescent="0.3">
      <c r="G1346" s="6"/>
      <c r="AM1346" s="39"/>
    </row>
    <row r="1347" spans="7:39" s="4" customFormat="1" x14ac:dyDescent="0.3">
      <c r="G1347" s="6"/>
      <c r="AM1347" s="39"/>
    </row>
    <row r="1348" spans="7:39" s="4" customFormat="1" x14ac:dyDescent="0.3">
      <c r="G1348" s="6"/>
      <c r="AM1348" s="39"/>
    </row>
    <row r="1349" spans="7:39" s="4" customFormat="1" x14ac:dyDescent="0.3">
      <c r="G1349" s="6"/>
      <c r="AM1349" s="39"/>
    </row>
    <row r="1350" spans="7:39" s="4" customFormat="1" x14ac:dyDescent="0.3">
      <c r="G1350" s="6"/>
      <c r="AM1350" s="39"/>
    </row>
    <row r="1351" spans="7:39" s="4" customFormat="1" x14ac:dyDescent="0.3">
      <c r="G1351" s="6"/>
      <c r="AM1351" s="39"/>
    </row>
    <row r="1352" spans="7:39" s="4" customFormat="1" x14ac:dyDescent="0.3">
      <c r="G1352" s="6"/>
      <c r="AM1352" s="39"/>
    </row>
    <row r="1353" spans="7:39" s="4" customFormat="1" x14ac:dyDescent="0.3">
      <c r="G1353" s="6"/>
      <c r="AM1353" s="39"/>
    </row>
    <row r="1354" spans="7:39" s="4" customFormat="1" x14ac:dyDescent="0.3">
      <c r="G1354" s="6"/>
      <c r="AM1354" s="39"/>
    </row>
    <row r="1355" spans="7:39" s="4" customFormat="1" x14ac:dyDescent="0.3">
      <c r="G1355" s="6"/>
      <c r="AM1355" s="39"/>
    </row>
    <row r="1356" spans="7:39" s="4" customFormat="1" x14ac:dyDescent="0.3">
      <c r="G1356" s="6"/>
      <c r="AM1356" s="39"/>
    </row>
    <row r="1357" spans="7:39" s="4" customFormat="1" x14ac:dyDescent="0.3">
      <c r="G1357" s="6"/>
      <c r="AM1357" s="39"/>
    </row>
    <row r="1358" spans="7:39" s="4" customFormat="1" x14ac:dyDescent="0.3">
      <c r="G1358" s="6"/>
      <c r="AM1358" s="39"/>
    </row>
    <row r="1359" spans="7:39" s="4" customFormat="1" x14ac:dyDescent="0.3">
      <c r="G1359" s="6"/>
      <c r="AM1359" s="39"/>
    </row>
    <row r="1360" spans="7:39" s="4" customFormat="1" x14ac:dyDescent="0.3">
      <c r="G1360" s="6"/>
      <c r="AM1360" s="39"/>
    </row>
    <row r="1361" spans="7:39" s="4" customFormat="1" x14ac:dyDescent="0.3">
      <c r="G1361" s="6"/>
      <c r="AM1361" s="39"/>
    </row>
    <row r="1362" spans="7:39" s="4" customFormat="1" x14ac:dyDescent="0.3">
      <c r="G1362" s="6"/>
      <c r="AM1362" s="39"/>
    </row>
    <row r="1363" spans="7:39" s="4" customFormat="1" x14ac:dyDescent="0.3">
      <c r="G1363" s="6"/>
      <c r="AM1363" s="39"/>
    </row>
    <row r="1364" spans="7:39" s="4" customFormat="1" x14ac:dyDescent="0.3">
      <c r="G1364" s="6"/>
      <c r="AM1364" s="39"/>
    </row>
    <row r="1365" spans="7:39" s="4" customFormat="1" x14ac:dyDescent="0.3">
      <c r="G1365" s="6"/>
      <c r="AM1365" s="39"/>
    </row>
    <row r="1366" spans="7:39" s="4" customFormat="1" x14ac:dyDescent="0.3">
      <c r="G1366" s="6"/>
      <c r="AM1366" s="39"/>
    </row>
    <row r="1367" spans="7:39" s="4" customFormat="1" x14ac:dyDescent="0.3">
      <c r="G1367" s="6"/>
      <c r="AM1367" s="39"/>
    </row>
    <row r="1368" spans="7:39" s="4" customFormat="1" x14ac:dyDescent="0.3">
      <c r="G1368" s="6"/>
      <c r="AM1368" s="39"/>
    </row>
    <row r="1369" spans="7:39" s="4" customFormat="1" x14ac:dyDescent="0.3">
      <c r="G1369" s="6"/>
      <c r="AM1369" s="39"/>
    </row>
    <row r="1370" spans="7:39" s="4" customFormat="1" x14ac:dyDescent="0.3">
      <c r="G1370" s="6"/>
      <c r="AM1370" s="39"/>
    </row>
    <row r="1371" spans="7:39" s="4" customFormat="1" x14ac:dyDescent="0.3">
      <c r="G1371" s="6"/>
      <c r="AM1371" s="39"/>
    </row>
    <row r="1372" spans="7:39" s="4" customFormat="1" x14ac:dyDescent="0.3">
      <c r="G1372" s="6"/>
      <c r="AM1372" s="39"/>
    </row>
    <row r="1373" spans="7:39" s="4" customFormat="1" x14ac:dyDescent="0.3">
      <c r="G1373" s="6"/>
      <c r="AM1373" s="39"/>
    </row>
    <row r="1374" spans="7:39" s="4" customFormat="1" x14ac:dyDescent="0.3">
      <c r="G1374" s="6"/>
      <c r="AM1374" s="39"/>
    </row>
    <row r="1375" spans="7:39" s="4" customFormat="1" x14ac:dyDescent="0.3">
      <c r="G1375" s="6"/>
      <c r="AM1375" s="39"/>
    </row>
    <row r="1376" spans="7:39" s="4" customFormat="1" x14ac:dyDescent="0.3">
      <c r="G1376" s="6"/>
      <c r="AM1376" s="39"/>
    </row>
    <row r="1377" spans="7:39" s="4" customFormat="1" x14ac:dyDescent="0.3">
      <c r="G1377" s="6"/>
      <c r="AM1377" s="39"/>
    </row>
    <row r="1378" spans="7:39" s="4" customFormat="1" x14ac:dyDescent="0.3">
      <c r="G1378" s="6"/>
      <c r="AM1378" s="39"/>
    </row>
    <row r="1379" spans="7:39" s="4" customFormat="1" x14ac:dyDescent="0.3">
      <c r="G1379" s="6"/>
      <c r="AM1379" s="39"/>
    </row>
    <row r="1380" spans="7:39" s="4" customFormat="1" x14ac:dyDescent="0.3">
      <c r="G1380" s="6"/>
      <c r="AM1380" s="39"/>
    </row>
    <row r="1381" spans="7:39" s="4" customFormat="1" x14ac:dyDescent="0.3">
      <c r="G1381" s="6"/>
      <c r="AM1381" s="39"/>
    </row>
    <row r="1382" spans="7:39" s="4" customFormat="1" x14ac:dyDescent="0.3">
      <c r="G1382" s="6"/>
      <c r="AM1382" s="39"/>
    </row>
    <row r="1383" spans="7:39" s="4" customFormat="1" x14ac:dyDescent="0.3">
      <c r="G1383" s="6"/>
      <c r="AM1383" s="39"/>
    </row>
    <row r="1384" spans="7:39" s="4" customFormat="1" x14ac:dyDescent="0.3">
      <c r="G1384" s="6"/>
      <c r="AM1384" s="39"/>
    </row>
    <row r="1385" spans="7:39" s="4" customFormat="1" x14ac:dyDescent="0.3">
      <c r="G1385" s="6"/>
      <c r="AM1385" s="39"/>
    </row>
    <row r="1386" spans="7:39" s="4" customFormat="1" x14ac:dyDescent="0.3">
      <c r="G1386" s="6"/>
      <c r="AM1386" s="39"/>
    </row>
    <row r="1387" spans="7:39" s="4" customFormat="1" x14ac:dyDescent="0.3">
      <c r="G1387" s="6"/>
      <c r="AM1387" s="39"/>
    </row>
    <row r="1388" spans="7:39" s="4" customFormat="1" x14ac:dyDescent="0.3">
      <c r="G1388" s="6"/>
      <c r="AM1388" s="39"/>
    </row>
    <row r="1389" spans="7:39" s="4" customFormat="1" x14ac:dyDescent="0.3">
      <c r="G1389" s="6"/>
      <c r="AM1389" s="39"/>
    </row>
    <row r="1390" spans="7:39" s="4" customFormat="1" x14ac:dyDescent="0.3">
      <c r="G1390" s="6"/>
      <c r="AM1390" s="39"/>
    </row>
    <row r="1391" spans="7:39" s="4" customFormat="1" x14ac:dyDescent="0.3">
      <c r="G1391" s="6"/>
      <c r="AM1391" s="39"/>
    </row>
    <row r="1392" spans="7:39" s="4" customFormat="1" x14ac:dyDescent="0.3">
      <c r="G1392" s="6"/>
      <c r="AM1392" s="39"/>
    </row>
    <row r="1393" spans="7:39" s="4" customFormat="1" x14ac:dyDescent="0.3">
      <c r="G1393" s="6"/>
      <c r="AM1393" s="39"/>
    </row>
    <row r="1394" spans="7:39" s="4" customFormat="1" x14ac:dyDescent="0.3">
      <c r="G1394" s="6"/>
      <c r="AM1394" s="39"/>
    </row>
    <row r="1395" spans="7:39" s="4" customFormat="1" x14ac:dyDescent="0.3">
      <c r="G1395" s="6"/>
      <c r="AM1395" s="39"/>
    </row>
    <row r="1396" spans="7:39" s="4" customFormat="1" x14ac:dyDescent="0.3">
      <c r="G1396" s="6"/>
      <c r="AM1396" s="39"/>
    </row>
    <row r="1397" spans="7:39" s="4" customFormat="1" x14ac:dyDescent="0.3">
      <c r="G1397" s="6"/>
      <c r="AM1397" s="39"/>
    </row>
    <row r="1398" spans="7:39" s="4" customFormat="1" x14ac:dyDescent="0.3">
      <c r="G1398" s="6"/>
      <c r="AM1398" s="39"/>
    </row>
    <row r="1399" spans="7:39" s="4" customFormat="1" x14ac:dyDescent="0.3">
      <c r="G1399" s="6"/>
      <c r="AM1399" s="39"/>
    </row>
    <row r="1400" spans="7:39" s="4" customFormat="1" x14ac:dyDescent="0.3">
      <c r="G1400" s="6"/>
      <c r="AM1400" s="39"/>
    </row>
    <row r="1401" spans="7:39" s="4" customFormat="1" x14ac:dyDescent="0.3">
      <c r="G1401" s="6"/>
      <c r="AM1401" s="39"/>
    </row>
    <row r="1402" spans="7:39" s="4" customFormat="1" x14ac:dyDescent="0.3">
      <c r="G1402" s="6"/>
      <c r="AM1402" s="39"/>
    </row>
    <row r="1403" spans="7:39" s="4" customFormat="1" x14ac:dyDescent="0.3">
      <c r="G1403" s="6"/>
      <c r="AM1403" s="39"/>
    </row>
    <row r="1404" spans="7:39" s="4" customFormat="1" x14ac:dyDescent="0.3">
      <c r="G1404" s="6"/>
      <c r="AM1404" s="39"/>
    </row>
    <row r="1405" spans="7:39" s="4" customFormat="1" x14ac:dyDescent="0.3">
      <c r="G1405" s="6"/>
      <c r="AM1405" s="39"/>
    </row>
    <row r="1406" spans="7:39" s="4" customFormat="1" x14ac:dyDescent="0.3">
      <c r="G1406" s="6"/>
      <c r="AM1406" s="39"/>
    </row>
    <row r="1407" spans="7:39" s="4" customFormat="1" x14ac:dyDescent="0.3">
      <c r="G1407" s="6"/>
      <c r="AM1407" s="39"/>
    </row>
    <row r="1408" spans="7:39" s="4" customFormat="1" x14ac:dyDescent="0.3">
      <c r="G1408" s="6"/>
      <c r="AM1408" s="39"/>
    </row>
    <row r="1409" spans="7:39" s="4" customFormat="1" x14ac:dyDescent="0.3">
      <c r="G1409" s="6"/>
      <c r="AM1409" s="39"/>
    </row>
    <row r="1410" spans="7:39" s="4" customFormat="1" x14ac:dyDescent="0.3">
      <c r="G1410" s="6"/>
      <c r="AM1410" s="39"/>
    </row>
    <row r="1411" spans="7:39" s="4" customFormat="1" x14ac:dyDescent="0.3">
      <c r="G1411" s="6"/>
      <c r="AM1411" s="39"/>
    </row>
    <row r="1412" spans="7:39" s="4" customFormat="1" x14ac:dyDescent="0.3">
      <c r="G1412" s="6"/>
      <c r="AM1412" s="39"/>
    </row>
    <row r="1413" spans="7:39" s="4" customFormat="1" x14ac:dyDescent="0.3">
      <c r="G1413" s="6"/>
      <c r="AM1413" s="39"/>
    </row>
    <row r="1414" spans="7:39" s="4" customFormat="1" x14ac:dyDescent="0.3">
      <c r="G1414" s="6"/>
      <c r="AM1414" s="39"/>
    </row>
    <row r="1415" spans="7:39" s="4" customFormat="1" x14ac:dyDescent="0.3">
      <c r="G1415" s="6"/>
      <c r="AM1415" s="39"/>
    </row>
    <row r="1416" spans="7:39" s="4" customFormat="1" x14ac:dyDescent="0.3">
      <c r="G1416" s="6"/>
      <c r="AM1416" s="39"/>
    </row>
    <row r="1417" spans="7:39" s="4" customFormat="1" x14ac:dyDescent="0.3">
      <c r="G1417" s="6"/>
      <c r="AM1417" s="39"/>
    </row>
    <row r="1418" spans="7:39" s="4" customFormat="1" x14ac:dyDescent="0.3">
      <c r="G1418" s="6"/>
      <c r="AM1418" s="39"/>
    </row>
    <row r="1419" spans="7:39" s="4" customFormat="1" x14ac:dyDescent="0.3">
      <c r="G1419" s="6"/>
      <c r="AM1419" s="39"/>
    </row>
    <row r="1420" spans="7:39" s="4" customFormat="1" x14ac:dyDescent="0.3">
      <c r="G1420" s="6"/>
      <c r="AM1420" s="39"/>
    </row>
    <row r="1421" spans="7:39" s="4" customFormat="1" x14ac:dyDescent="0.3">
      <c r="G1421" s="6"/>
      <c r="AM1421" s="39"/>
    </row>
    <row r="1422" spans="7:39" s="4" customFormat="1" x14ac:dyDescent="0.3">
      <c r="G1422" s="6"/>
      <c r="AM1422" s="39"/>
    </row>
    <row r="1423" spans="7:39" s="4" customFormat="1" x14ac:dyDescent="0.3">
      <c r="G1423" s="6"/>
      <c r="AM1423" s="39"/>
    </row>
    <row r="1424" spans="7:39" s="4" customFormat="1" x14ac:dyDescent="0.3">
      <c r="G1424" s="6"/>
      <c r="AM1424" s="39"/>
    </row>
    <row r="1425" spans="7:39" s="4" customFormat="1" x14ac:dyDescent="0.3">
      <c r="G1425" s="6"/>
      <c r="AM1425" s="39"/>
    </row>
    <row r="1426" spans="7:39" s="4" customFormat="1" x14ac:dyDescent="0.3">
      <c r="G1426" s="6"/>
      <c r="AM1426" s="39"/>
    </row>
    <row r="1427" spans="7:39" s="4" customFormat="1" x14ac:dyDescent="0.3">
      <c r="G1427" s="6"/>
      <c r="AM1427" s="39"/>
    </row>
    <row r="1428" spans="7:39" s="4" customFormat="1" x14ac:dyDescent="0.3">
      <c r="G1428" s="6"/>
      <c r="AM1428" s="39"/>
    </row>
    <row r="1429" spans="7:39" s="4" customFormat="1" x14ac:dyDescent="0.3">
      <c r="G1429" s="6"/>
      <c r="AM1429" s="39"/>
    </row>
    <row r="1430" spans="7:39" s="4" customFormat="1" x14ac:dyDescent="0.3">
      <c r="G1430" s="6"/>
      <c r="AM1430" s="39"/>
    </row>
    <row r="1431" spans="7:39" s="4" customFormat="1" x14ac:dyDescent="0.3">
      <c r="G1431" s="6"/>
      <c r="AM1431" s="39"/>
    </row>
    <row r="1432" spans="7:39" s="4" customFormat="1" x14ac:dyDescent="0.3">
      <c r="G1432" s="6"/>
      <c r="AM1432" s="39"/>
    </row>
    <row r="1433" spans="7:39" s="4" customFormat="1" x14ac:dyDescent="0.3">
      <c r="G1433" s="6"/>
      <c r="AM1433" s="39"/>
    </row>
    <row r="1434" spans="7:39" s="4" customFormat="1" x14ac:dyDescent="0.3">
      <c r="G1434" s="6"/>
      <c r="AM1434" s="39"/>
    </row>
    <row r="1435" spans="7:39" s="4" customFormat="1" x14ac:dyDescent="0.3">
      <c r="G1435" s="6"/>
      <c r="AM1435" s="39"/>
    </row>
    <row r="1436" spans="7:39" s="4" customFormat="1" x14ac:dyDescent="0.3">
      <c r="G1436" s="6"/>
      <c r="AM1436" s="39"/>
    </row>
    <row r="1437" spans="7:39" s="4" customFormat="1" x14ac:dyDescent="0.3">
      <c r="G1437" s="6"/>
      <c r="AM1437" s="39"/>
    </row>
    <row r="1438" spans="7:39" s="4" customFormat="1" x14ac:dyDescent="0.3">
      <c r="G1438" s="6"/>
      <c r="AM1438" s="39"/>
    </row>
    <row r="1439" spans="7:39" s="4" customFormat="1" x14ac:dyDescent="0.3">
      <c r="G1439" s="6"/>
      <c r="AM1439" s="39"/>
    </row>
    <row r="1440" spans="7:39" s="4" customFormat="1" x14ac:dyDescent="0.3">
      <c r="G1440" s="6"/>
      <c r="AM1440" s="39"/>
    </row>
    <row r="1441" spans="7:39" s="4" customFormat="1" x14ac:dyDescent="0.3">
      <c r="G1441" s="6"/>
      <c r="AM1441" s="39"/>
    </row>
    <row r="1442" spans="7:39" s="4" customFormat="1" x14ac:dyDescent="0.3">
      <c r="G1442" s="6"/>
      <c r="AM1442" s="39"/>
    </row>
    <row r="1443" spans="7:39" s="4" customFormat="1" x14ac:dyDescent="0.3">
      <c r="G1443" s="6"/>
      <c r="AM1443" s="39"/>
    </row>
    <row r="1444" spans="7:39" s="4" customFormat="1" x14ac:dyDescent="0.3">
      <c r="G1444" s="6"/>
      <c r="AM1444" s="39"/>
    </row>
    <row r="1445" spans="7:39" s="4" customFormat="1" x14ac:dyDescent="0.3">
      <c r="G1445" s="6"/>
      <c r="AM1445" s="39"/>
    </row>
    <row r="1446" spans="7:39" s="4" customFormat="1" x14ac:dyDescent="0.3">
      <c r="G1446" s="6"/>
      <c r="AM1446" s="39"/>
    </row>
    <row r="1447" spans="7:39" s="4" customFormat="1" x14ac:dyDescent="0.3">
      <c r="G1447" s="6"/>
      <c r="AM1447" s="39"/>
    </row>
    <row r="1448" spans="7:39" s="4" customFormat="1" x14ac:dyDescent="0.3">
      <c r="G1448" s="6"/>
      <c r="AM1448" s="39"/>
    </row>
    <row r="1449" spans="7:39" s="4" customFormat="1" x14ac:dyDescent="0.3">
      <c r="G1449" s="6"/>
      <c r="AM1449" s="39"/>
    </row>
    <row r="1450" spans="7:39" s="4" customFormat="1" x14ac:dyDescent="0.3">
      <c r="G1450" s="6"/>
      <c r="AM1450" s="39"/>
    </row>
    <row r="1451" spans="7:39" s="4" customFormat="1" x14ac:dyDescent="0.3">
      <c r="G1451" s="6"/>
      <c r="AM1451" s="39"/>
    </row>
    <row r="1452" spans="7:39" s="4" customFormat="1" x14ac:dyDescent="0.3">
      <c r="G1452" s="6"/>
      <c r="AM1452" s="39"/>
    </row>
    <row r="1453" spans="7:39" s="4" customFormat="1" x14ac:dyDescent="0.3">
      <c r="G1453" s="6"/>
      <c r="AM1453" s="39"/>
    </row>
    <row r="1454" spans="7:39" s="4" customFormat="1" x14ac:dyDescent="0.3">
      <c r="G1454" s="6"/>
      <c r="AM1454" s="39"/>
    </row>
    <row r="1455" spans="7:39" s="4" customFormat="1" x14ac:dyDescent="0.3">
      <c r="G1455" s="6"/>
      <c r="AM1455" s="39"/>
    </row>
    <row r="1456" spans="7:39" s="4" customFormat="1" x14ac:dyDescent="0.3">
      <c r="G1456" s="6"/>
      <c r="AM1456" s="39"/>
    </row>
    <row r="1457" spans="7:39" s="4" customFormat="1" x14ac:dyDescent="0.3">
      <c r="G1457" s="6"/>
      <c r="AM1457" s="39"/>
    </row>
    <row r="1458" spans="7:39" s="4" customFormat="1" x14ac:dyDescent="0.3">
      <c r="G1458" s="6"/>
      <c r="AM1458" s="39"/>
    </row>
    <row r="1459" spans="7:39" s="4" customFormat="1" x14ac:dyDescent="0.3">
      <c r="G1459" s="6"/>
      <c r="AM1459" s="39"/>
    </row>
    <row r="1460" spans="7:39" s="4" customFormat="1" x14ac:dyDescent="0.3">
      <c r="G1460" s="6"/>
      <c r="AM1460" s="39"/>
    </row>
    <row r="1461" spans="7:39" s="4" customFormat="1" x14ac:dyDescent="0.3">
      <c r="G1461" s="6"/>
      <c r="AM1461" s="39"/>
    </row>
    <row r="1462" spans="7:39" s="4" customFormat="1" x14ac:dyDescent="0.3">
      <c r="G1462" s="6"/>
      <c r="AM1462" s="39"/>
    </row>
    <row r="1463" spans="7:39" s="4" customFormat="1" x14ac:dyDescent="0.3">
      <c r="G1463" s="6"/>
      <c r="AM1463" s="39"/>
    </row>
    <row r="1464" spans="7:39" s="4" customFormat="1" x14ac:dyDescent="0.3">
      <c r="G1464" s="6"/>
      <c r="AM1464" s="39"/>
    </row>
    <row r="1465" spans="7:39" s="4" customFormat="1" x14ac:dyDescent="0.3">
      <c r="G1465" s="6"/>
      <c r="AM1465" s="39"/>
    </row>
    <row r="1466" spans="7:39" s="4" customFormat="1" x14ac:dyDescent="0.3">
      <c r="G1466" s="6"/>
      <c r="AM1466" s="39"/>
    </row>
    <row r="1467" spans="7:39" s="4" customFormat="1" x14ac:dyDescent="0.3">
      <c r="G1467" s="6"/>
      <c r="AM1467" s="39"/>
    </row>
    <row r="1468" spans="7:39" s="4" customFormat="1" x14ac:dyDescent="0.3">
      <c r="G1468" s="6"/>
      <c r="AM1468" s="39"/>
    </row>
    <row r="1469" spans="7:39" s="4" customFormat="1" x14ac:dyDescent="0.3">
      <c r="G1469" s="6"/>
      <c r="AM1469" s="39"/>
    </row>
    <row r="1470" spans="7:39" s="4" customFormat="1" x14ac:dyDescent="0.3">
      <c r="G1470" s="6"/>
      <c r="AM1470" s="39"/>
    </row>
    <row r="1471" spans="7:39" s="4" customFormat="1" x14ac:dyDescent="0.3">
      <c r="G1471" s="6"/>
      <c r="AM1471" s="39"/>
    </row>
    <row r="1472" spans="7:39" s="4" customFormat="1" x14ac:dyDescent="0.3">
      <c r="G1472" s="6"/>
      <c r="AM1472" s="39"/>
    </row>
    <row r="1473" spans="7:39" s="4" customFormat="1" x14ac:dyDescent="0.3">
      <c r="G1473" s="6"/>
      <c r="AM1473" s="39"/>
    </row>
    <row r="1474" spans="7:39" s="4" customFormat="1" x14ac:dyDescent="0.3">
      <c r="G1474" s="6"/>
      <c r="AM1474" s="39"/>
    </row>
    <row r="1475" spans="7:39" s="4" customFormat="1" x14ac:dyDescent="0.3">
      <c r="G1475" s="6"/>
      <c r="AM1475" s="39"/>
    </row>
    <row r="1476" spans="7:39" s="4" customFormat="1" x14ac:dyDescent="0.3">
      <c r="G1476" s="6"/>
      <c r="AM1476" s="39"/>
    </row>
    <row r="1477" spans="7:39" s="4" customFormat="1" x14ac:dyDescent="0.3">
      <c r="G1477" s="6"/>
      <c r="AM1477" s="39"/>
    </row>
    <row r="1478" spans="7:39" s="4" customFormat="1" x14ac:dyDescent="0.3">
      <c r="G1478" s="6"/>
      <c r="AM1478" s="39"/>
    </row>
    <row r="1479" spans="7:39" s="4" customFormat="1" x14ac:dyDescent="0.3">
      <c r="G1479" s="6"/>
      <c r="AM1479" s="39"/>
    </row>
    <row r="1480" spans="7:39" s="4" customFormat="1" x14ac:dyDescent="0.3">
      <c r="G1480" s="6"/>
      <c r="AM1480" s="39"/>
    </row>
    <row r="1481" spans="7:39" s="4" customFormat="1" x14ac:dyDescent="0.3">
      <c r="G1481" s="6"/>
      <c r="AM1481" s="39"/>
    </row>
    <row r="1482" spans="7:39" s="4" customFormat="1" x14ac:dyDescent="0.3">
      <c r="G1482" s="6"/>
      <c r="AM1482" s="39"/>
    </row>
    <row r="1483" spans="7:39" s="4" customFormat="1" x14ac:dyDescent="0.3">
      <c r="G1483" s="6"/>
      <c r="AM1483" s="39"/>
    </row>
    <row r="1484" spans="7:39" s="4" customFormat="1" x14ac:dyDescent="0.3">
      <c r="G1484" s="6"/>
      <c r="AM1484" s="39"/>
    </row>
    <row r="1485" spans="7:39" s="4" customFormat="1" x14ac:dyDescent="0.3">
      <c r="G1485" s="6"/>
      <c r="AM1485" s="39"/>
    </row>
    <row r="1486" spans="7:39" s="4" customFormat="1" x14ac:dyDescent="0.3">
      <c r="G1486" s="6"/>
      <c r="AM1486" s="39"/>
    </row>
    <row r="1487" spans="7:39" s="4" customFormat="1" x14ac:dyDescent="0.3">
      <c r="G1487" s="6"/>
      <c r="AM1487" s="39"/>
    </row>
    <row r="1488" spans="7:39" s="4" customFormat="1" x14ac:dyDescent="0.3">
      <c r="G1488" s="6"/>
      <c r="AM1488" s="39"/>
    </row>
    <row r="1489" spans="7:39" s="4" customFormat="1" x14ac:dyDescent="0.3">
      <c r="G1489" s="6"/>
      <c r="AM1489" s="39"/>
    </row>
    <row r="1490" spans="7:39" s="4" customFormat="1" x14ac:dyDescent="0.3">
      <c r="G1490" s="6"/>
      <c r="AM1490" s="39"/>
    </row>
    <row r="1491" spans="7:39" s="4" customFormat="1" x14ac:dyDescent="0.3">
      <c r="G1491" s="6"/>
      <c r="AM1491" s="39"/>
    </row>
    <row r="1492" spans="7:39" s="4" customFormat="1" x14ac:dyDescent="0.3">
      <c r="G1492" s="6"/>
      <c r="AM1492" s="39"/>
    </row>
    <row r="1493" spans="7:39" s="4" customFormat="1" x14ac:dyDescent="0.3">
      <c r="G1493" s="6"/>
      <c r="AM1493" s="39"/>
    </row>
    <row r="1494" spans="7:39" s="4" customFormat="1" x14ac:dyDescent="0.3">
      <c r="G1494" s="6"/>
      <c r="AM1494" s="39"/>
    </row>
    <row r="1495" spans="7:39" s="4" customFormat="1" x14ac:dyDescent="0.3">
      <c r="G1495" s="6"/>
      <c r="AM1495" s="39"/>
    </row>
    <row r="1496" spans="7:39" s="4" customFormat="1" x14ac:dyDescent="0.3">
      <c r="G1496" s="6"/>
      <c r="AM1496" s="39"/>
    </row>
    <row r="1497" spans="7:39" s="4" customFormat="1" x14ac:dyDescent="0.3">
      <c r="G1497" s="6"/>
      <c r="AM1497" s="39"/>
    </row>
    <row r="1498" spans="7:39" s="4" customFormat="1" x14ac:dyDescent="0.3">
      <c r="G1498" s="6"/>
      <c r="AM1498" s="39"/>
    </row>
    <row r="1499" spans="7:39" s="4" customFormat="1" x14ac:dyDescent="0.3">
      <c r="G1499" s="6"/>
      <c r="AM1499" s="39"/>
    </row>
    <row r="1500" spans="7:39" s="4" customFormat="1" x14ac:dyDescent="0.3">
      <c r="G1500" s="6"/>
      <c r="AM1500" s="39"/>
    </row>
    <row r="1501" spans="7:39" s="4" customFormat="1" x14ac:dyDescent="0.3">
      <c r="G1501" s="6"/>
      <c r="AM1501" s="39"/>
    </row>
    <row r="1502" spans="7:39" s="4" customFormat="1" x14ac:dyDescent="0.3">
      <c r="G1502" s="6"/>
      <c r="AM1502" s="39"/>
    </row>
    <row r="1503" spans="7:39" s="4" customFormat="1" x14ac:dyDescent="0.3">
      <c r="G1503" s="6"/>
      <c r="AM1503" s="39"/>
    </row>
    <row r="1504" spans="7:39" s="4" customFormat="1" x14ac:dyDescent="0.3">
      <c r="G1504" s="6"/>
      <c r="AM1504" s="39"/>
    </row>
    <row r="1505" spans="7:39" s="4" customFormat="1" x14ac:dyDescent="0.3">
      <c r="G1505" s="6"/>
      <c r="AM1505" s="39"/>
    </row>
    <row r="1506" spans="7:39" s="4" customFormat="1" x14ac:dyDescent="0.3">
      <c r="G1506" s="6"/>
      <c r="AM1506" s="39"/>
    </row>
    <row r="1507" spans="7:39" s="4" customFormat="1" x14ac:dyDescent="0.3">
      <c r="G1507" s="6"/>
      <c r="AM1507" s="39"/>
    </row>
    <row r="1508" spans="7:39" s="4" customFormat="1" x14ac:dyDescent="0.3">
      <c r="G1508" s="6"/>
      <c r="AM1508" s="39"/>
    </row>
    <row r="1509" spans="7:39" s="4" customFormat="1" x14ac:dyDescent="0.3">
      <c r="G1509" s="6"/>
      <c r="AM1509" s="39"/>
    </row>
    <row r="1510" spans="7:39" s="4" customFormat="1" x14ac:dyDescent="0.3">
      <c r="G1510" s="6"/>
      <c r="AM1510" s="39"/>
    </row>
    <row r="1511" spans="7:39" s="4" customFormat="1" x14ac:dyDescent="0.3">
      <c r="G1511" s="6"/>
      <c r="AM1511" s="39"/>
    </row>
    <row r="1512" spans="7:39" s="4" customFormat="1" x14ac:dyDescent="0.3">
      <c r="G1512" s="6"/>
      <c r="AM1512" s="39"/>
    </row>
    <row r="1513" spans="7:39" s="4" customFormat="1" x14ac:dyDescent="0.3">
      <c r="G1513" s="6"/>
      <c r="AM1513" s="39"/>
    </row>
    <row r="1514" spans="7:39" s="4" customFormat="1" x14ac:dyDescent="0.3">
      <c r="G1514" s="6"/>
      <c r="AM1514" s="39"/>
    </row>
    <row r="1515" spans="7:39" s="4" customFormat="1" x14ac:dyDescent="0.3">
      <c r="G1515" s="6"/>
      <c r="AM1515" s="39"/>
    </row>
    <row r="1516" spans="7:39" s="4" customFormat="1" x14ac:dyDescent="0.3">
      <c r="G1516" s="6"/>
      <c r="AM1516" s="39"/>
    </row>
    <row r="1517" spans="7:39" s="4" customFormat="1" x14ac:dyDescent="0.3">
      <c r="G1517" s="6"/>
      <c r="AM1517" s="39"/>
    </row>
    <row r="1518" spans="7:39" s="4" customFormat="1" x14ac:dyDescent="0.3">
      <c r="G1518" s="6"/>
      <c r="AM1518" s="39"/>
    </row>
    <row r="1519" spans="7:39" s="4" customFormat="1" x14ac:dyDescent="0.3">
      <c r="G1519" s="6"/>
      <c r="AM1519" s="39"/>
    </row>
    <row r="1520" spans="7:39" s="4" customFormat="1" x14ac:dyDescent="0.3">
      <c r="G1520" s="6"/>
      <c r="AM1520" s="39"/>
    </row>
    <row r="1521" spans="7:39" s="4" customFormat="1" x14ac:dyDescent="0.3">
      <c r="G1521" s="6"/>
      <c r="AM1521" s="39"/>
    </row>
    <row r="1522" spans="7:39" s="4" customFormat="1" x14ac:dyDescent="0.3">
      <c r="G1522" s="6"/>
      <c r="AM1522" s="39"/>
    </row>
    <row r="1523" spans="7:39" s="4" customFormat="1" x14ac:dyDescent="0.3">
      <c r="G1523" s="6"/>
      <c r="AM1523" s="39"/>
    </row>
    <row r="1524" spans="7:39" s="4" customFormat="1" x14ac:dyDescent="0.3">
      <c r="G1524" s="6"/>
      <c r="AM1524" s="39"/>
    </row>
    <row r="1525" spans="7:39" s="4" customFormat="1" x14ac:dyDescent="0.3">
      <c r="G1525" s="6"/>
      <c r="AM1525" s="39"/>
    </row>
    <row r="1526" spans="7:39" s="4" customFormat="1" x14ac:dyDescent="0.3">
      <c r="G1526" s="6"/>
      <c r="AM1526" s="39"/>
    </row>
    <row r="1527" spans="7:39" s="4" customFormat="1" x14ac:dyDescent="0.3">
      <c r="G1527" s="6"/>
      <c r="AM1527" s="39"/>
    </row>
    <row r="1528" spans="7:39" s="4" customFormat="1" x14ac:dyDescent="0.3">
      <c r="G1528" s="6"/>
      <c r="AM1528" s="39"/>
    </row>
    <row r="1529" spans="7:39" s="4" customFormat="1" x14ac:dyDescent="0.3">
      <c r="G1529" s="6"/>
      <c r="AM1529" s="39"/>
    </row>
    <row r="1530" spans="7:39" s="4" customFormat="1" x14ac:dyDescent="0.3">
      <c r="G1530" s="6"/>
      <c r="AM1530" s="39"/>
    </row>
    <row r="1531" spans="7:39" s="4" customFormat="1" x14ac:dyDescent="0.3">
      <c r="G1531" s="6"/>
      <c r="AM1531" s="39"/>
    </row>
    <row r="1532" spans="7:39" s="4" customFormat="1" x14ac:dyDescent="0.3">
      <c r="G1532" s="6"/>
      <c r="AM1532" s="39"/>
    </row>
    <row r="1533" spans="7:39" s="4" customFormat="1" x14ac:dyDescent="0.3">
      <c r="G1533" s="6"/>
      <c r="AM1533" s="39"/>
    </row>
    <row r="1534" spans="7:39" s="4" customFormat="1" x14ac:dyDescent="0.3">
      <c r="G1534" s="6"/>
      <c r="AM1534" s="39"/>
    </row>
    <row r="1535" spans="7:39" s="4" customFormat="1" x14ac:dyDescent="0.3">
      <c r="G1535" s="6"/>
      <c r="AM1535" s="39"/>
    </row>
    <row r="1536" spans="7:39" s="4" customFormat="1" x14ac:dyDescent="0.3">
      <c r="G1536" s="6"/>
      <c r="AM1536" s="39"/>
    </row>
    <row r="1537" spans="7:39" s="4" customFormat="1" x14ac:dyDescent="0.3">
      <c r="G1537" s="6"/>
      <c r="AM1537" s="39"/>
    </row>
    <row r="1538" spans="7:39" s="4" customFormat="1" x14ac:dyDescent="0.3">
      <c r="G1538" s="6"/>
      <c r="AM1538" s="39"/>
    </row>
    <row r="1539" spans="7:39" s="4" customFormat="1" x14ac:dyDescent="0.3">
      <c r="G1539" s="6"/>
      <c r="AM1539" s="39"/>
    </row>
    <row r="1540" spans="7:39" s="4" customFormat="1" x14ac:dyDescent="0.3">
      <c r="G1540" s="6"/>
      <c r="AM1540" s="39"/>
    </row>
    <row r="1541" spans="7:39" s="4" customFormat="1" x14ac:dyDescent="0.3">
      <c r="G1541" s="6"/>
      <c r="AM1541" s="39"/>
    </row>
    <row r="1542" spans="7:39" s="4" customFormat="1" x14ac:dyDescent="0.3">
      <c r="G1542" s="6"/>
      <c r="AM1542" s="39"/>
    </row>
    <row r="1543" spans="7:39" s="4" customFormat="1" x14ac:dyDescent="0.3">
      <c r="G1543" s="6"/>
      <c r="AM1543" s="39"/>
    </row>
    <row r="1544" spans="7:39" s="4" customFormat="1" x14ac:dyDescent="0.3">
      <c r="G1544" s="6"/>
      <c r="AM1544" s="39"/>
    </row>
    <row r="1545" spans="7:39" s="4" customFormat="1" x14ac:dyDescent="0.3">
      <c r="G1545" s="6"/>
      <c r="AM1545" s="39"/>
    </row>
    <row r="1546" spans="7:39" s="4" customFormat="1" x14ac:dyDescent="0.3">
      <c r="G1546" s="6"/>
      <c r="AM1546" s="39"/>
    </row>
    <row r="1547" spans="7:39" s="4" customFormat="1" x14ac:dyDescent="0.3">
      <c r="G1547" s="6"/>
      <c r="AM1547" s="39"/>
    </row>
    <row r="1548" spans="7:39" s="4" customFormat="1" x14ac:dyDescent="0.3">
      <c r="G1548" s="6"/>
      <c r="AM1548" s="39"/>
    </row>
    <row r="1549" spans="7:39" s="4" customFormat="1" x14ac:dyDescent="0.3">
      <c r="G1549" s="6"/>
      <c r="AM1549" s="39"/>
    </row>
    <row r="1550" spans="7:39" s="4" customFormat="1" x14ac:dyDescent="0.3">
      <c r="G1550" s="6"/>
      <c r="AM1550" s="39"/>
    </row>
    <row r="1551" spans="7:39" s="4" customFormat="1" x14ac:dyDescent="0.3">
      <c r="G1551" s="6"/>
      <c r="AM1551" s="39"/>
    </row>
    <row r="1552" spans="7:39" s="4" customFormat="1" x14ac:dyDescent="0.3">
      <c r="G1552" s="6"/>
      <c r="AM1552" s="39"/>
    </row>
    <row r="1553" spans="7:39" s="4" customFormat="1" x14ac:dyDescent="0.3">
      <c r="G1553" s="6"/>
      <c r="AM1553" s="39"/>
    </row>
    <row r="1554" spans="7:39" s="4" customFormat="1" x14ac:dyDescent="0.3">
      <c r="G1554" s="6"/>
      <c r="AM1554" s="39"/>
    </row>
    <row r="1555" spans="7:39" s="4" customFormat="1" x14ac:dyDescent="0.3">
      <c r="G1555" s="6"/>
      <c r="AM1555" s="39"/>
    </row>
    <row r="1556" spans="7:39" s="4" customFormat="1" x14ac:dyDescent="0.3">
      <c r="G1556" s="6"/>
      <c r="AM1556" s="39"/>
    </row>
    <row r="1557" spans="7:39" s="4" customFormat="1" x14ac:dyDescent="0.3">
      <c r="G1557" s="6"/>
      <c r="AM1557" s="39"/>
    </row>
    <row r="1558" spans="7:39" s="4" customFormat="1" x14ac:dyDescent="0.3">
      <c r="G1558" s="6"/>
      <c r="AM1558" s="39"/>
    </row>
    <row r="1559" spans="7:39" s="4" customFormat="1" x14ac:dyDescent="0.3">
      <c r="G1559" s="6"/>
      <c r="AM1559" s="39"/>
    </row>
    <row r="1560" spans="7:39" s="4" customFormat="1" x14ac:dyDescent="0.3">
      <c r="G1560" s="6"/>
      <c r="AM1560" s="39"/>
    </row>
    <row r="1561" spans="7:39" s="4" customFormat="1" x14ac:dyDescent="0.3">
      <c r="G1561" s="6"/>
      <c r="AM1561" s="39"/>
    </row>
    <row r="1562" spans="7:39" s="4" customFormat="1" x14ac:dyDescent="0.3">
      <c r="G1562" s="6"/>
      <c r="AM1562" s="39"/>
    </row>
    <row r="1563" spans="7:39" s="4" customFormat="1" x14ac:dyDescent="0.3">
      <c r="G1563" s="6"/>
      <c r="AM1563" s="39"/>
    </row>
    <row r="1564" spans="7:39" s="4" customFormat="1" x14ac:dyDescent="0.3">
      <c r="G1564" s="6"/>
      <c r="AM1564" s="39"/>
    </row>
    <row r="1565" spans="7:39" s="4" customFormat="1" x14ac:dyDescent="0.3">
      <c r="G1565" s="6"/>
      <c r="AM1565" s="39"/>
    </row>
    <row r="1566" spans="7:39" s="4" customFormat="1" x14ac:dyDescent="0.3">
      <c r="G1566" s="6"/>
      <c r="AM1566" s="39"/>
    </row>
    <row r="1567" spans="7:39" s="4" customFormat="1" x14ac:dyDescent="0.3">
      <c r="G1567" s="6"/>
      <c r="AM1567" s="39"/>
    </row>
    <row r="1568" spans="7:39" s="4" customFormat="1" x14ac:dyDescent="0.3">
      <c r="G1568" s="6"/>
      <c r="AM1568" s="39"/>
    </row>
    <row r="1569" spans="7:39" s="4" customFormat="1" x14ac:dyDescent="0.3">
      <c r="G1569" s="6"/>
      <c r="AM1569" s="39"/>
    </row>
    <row r="1570" spans="7:39" s="4" customFormat="1" x14ac:dyDescent="0.3">
      <c r="G1570" s="6"/>
      <c r="AM1570" s="39"/>
    </row>
    <row r="1571" spans="7:39" s="4" customFormat="1" x14ac:dyDescent="0.3">
      <c r="G1571" s="6"/>
      <c r="AM1571" s="39"/>
    </row>
    <row r="1572" spans="7:39" s="4" customFormat="1" x14ac:dyDescent="0.3">
      <c r="G1572" s="6"/>
      <c r="AM1572" s="39"/>
    </row>
    <row r="1573" spans="7:39" s="4" customFormat="1" x14ac:dyDescent="0.3">
      <c r="G1573" s="6"/>
      <c r="AM1573" s="39"/>
    </row>
    <row r="1574" spans="7:39" s="4" customFormat="1" x14ac:dyDescent="0.3">
      <c r="G1574" s="6"/>
      <c r="AM1574" s="39"/>
    </row>
    <row r="1575" spans="7:39" s="4" customFormat="1" x14ac:dyDescent="0.3">
      <c r="G1575" s="6"/>
      <c r="AM1575" s="39"/>
    </row>
    <row r="1576" spans="7:39" s="4" customFormat="1" x14ac:dyDescent="0.3">
      <c r="G1576" s="6"/>
      <c r="AM1576" s="39"/>
    </row>
    <row r="1577" spans="7:39" s="4" customFormat="1" x14ac:dyDescent="0.3">
      <c r="G1577" s="6"/>
      <c r="AM1577" s="39"/>
    </row>
    <row r="1578" spans="7:39" s="4" customFormat="1" x14ac:dyDescent="0.3">
      <c r="G1578" s="6"/>
      <c r="AM1578" s="39"/>
    </row>
    <row r="1579" spans="7:39" s="4" customFormat="1" x14ac:dyDescent="0.3">
      <c r="G1579" s="6"/>
      <c r="AM1579" s="39"/>
    </row>
    <row r="1580" spans="7:39" s="4" customFormat="1" x14ac:dyDescent="0.3">
      <c r="G1580" s="6"/>
      <c r="AM1580" s="39"/>
    </row>
    <row r="1581" spans="7:39" s="4" customFormat="1" x14ac:dyDescent="0.3">
      <c r="G1581" s="6"/>
      <c r="AM1581" s="39"/>
    </row>
    <row r="1582" spans="7:39" s="4" customFormat="1" x14ac:dyDescent="0.3">
      <c r="G1582" s="6"/>
      <c r="AM1582" s="39"/>
    </row>
    <row r="1583" spans="7:39" s="4" customFormat="1" x14ac:dyDescent="0.3">
      <c r="G1583" s="6"/>
      <c r="AM1583" s="39"/>
    </row>
    <row r="1584" spans="7:39" s="4" customFormat="1" x14ac:dyDescent="0.3">
      <c r="G1584" s="6"/>
      <c r="AM1584" s="39"/>
    </row>
    <row r="1585" spans="7:39" s="4" customFormat="1" x14ac:dyDescent="0.3">
      <c r="G1585" s="6"/>
      <c r="AM1585" s="39"/>
    </row>
    <row r="1586" spans="7:39" s="4" customFormat="1" x14ac:dyDescent="0.3">
      <c r="G1586" s="6"/>
      <c r="AM1586" s="39"/>
    </row>
    <row r="1587" spans="7:39" s="4" customFormat="1" x14ac:dyDescent="0.3">
      <c r="G1587" s="6"/>
      <c r="AM1587" s="39"/>
    </row>
    <row r="1588" spans="7:39" s="4" customFormat="1" x14ac:dyDescent="0.3">
      <c r="G1588" s="6"/>
      <c r="AM1588" s="39"/>
    </row>
    <row r="1589" spans="7:39" s="4" customFormat="1" x14ac:dyDescent="0.3">
      <c r="G1589" s="6"/>
      <c r="AM1589" s="39"/>
    </row>
    <row r="1590" spans="7:39" s="4" customFormat="1" x14ac:dyDescent="0.3">
      <c r="G1590" s="6"/>
      <c r="AM1590" s="39"/>
    </row>
    <row r="1591" spans="7:39" s="4" customFormat="1" x14ac:dyDescent="0.3">
      <c r="G1591" s="6"/>
      <c r="AM1591" s="39"/>
    </row>
    <row r="1592" spans="7:39" s="4" customFormat="1" x14ac:dyDescent="0.3">
      <c r="G1592" s="6"/>
      <c r="AM1592" s="39"/>
    </row>
    <row r="1593" spans="7:39" s="4" customFormat="1" x14ac:dyDescent="0.3">
      <c r="G1593" s="6"/>
      <c r="AM1593" s="39"/>
    </row>
    <row r="1594" spans="7:39" s="4" customFormat="1" x14ac:dyDescent="0.3">
      <c r="G1594" s="6"/>
      <c r="AM1594" s="39"/>
    </row>
    <row r="1595" spans="7:39" s="4" customFormat="1" x14ac:dyDescent="0.3">
      <c r="G1595" s="6"/>
      <c r="AM1595" s="39"/>
    </row>
    <row r="1596" spans="7:39" s="4" customFormat="1" x14ac:dyDescent="0.3">
      <c r="G1596" s="6"/>
      <c r="AM1596" s="39"/>
    </row>
    <row r="1597" spans="7:39" s="4" customFormat="1" x14ac:dyDescent="0.3">
      <c r="G1597" s="6"/>
      <c r="AM1597" s="39"/>
    </row>
    <row r="1598" spans="7:39" s="4" customFormat="1" x14ac:dyDescent="0.3">
      <c r="G1598" s="6"/>
      <c r="AM1598" s="39"/>
    </row>
    <row r="1599" spans="7:39" s="4" customFormat="1" x14ac:dyDescent="0.3">
      <c r="G1599" s="6"/>
      <c r="AM1599" s="39"/>
    </row>
    <row r="1600" spans="7:39" s="4" customFormat="1" x14ac:dyDescent="0.3">
      <c r="G1600" s="6"/>
      <c r="AM1600" s="39"/>
    </row>
    <row r="1601" spans="7:39" s="4" customFormat="1" x14ac:dyDescent="0.3">
      <c r="G1601" s="6"/>
      <c r="AM1601" s="39"/>
    </row>
    <row r="1602" spans="7:39" s="4" customFormat="1" x14ac:dyDescent="0.3">
      <c r="G1602" s="6"/>
      <c r="AM1602" s="39"/>
    </row>
    <row r="1603" spans="7:39" s="4" customFormat="1" x14ac:dyDescent="0.3">
      <c r="G1603" s="6"/>
      <c r="AM1603" s="39"/>
    </row>
    <row r="1604" spans="7:39" s="4" customFormat="1" x14ac:dyDescent="0.3">
      <c r="G1604" s="6"/>
      <c r="AM1604" s="39"/>
    </row>
    <row r="1605" spans="7:39" s="4" customFormat="1" x14ac:dyDescent="0.3">
      <c r="G1605" s="6"/>
      <c r="AM1605" s="39"/>
    </row>
    <row r="1606" spans="7:39" s="4" customFormat="1" x14ac:dyDescent="0.3">
      <c r="G1606" s="6"/>
      <c r="AM1606" s="39"/>
    </row>
    <row r="1607" spans="7:39" s="4" customFormat="1" x14ac:dyDescent="0.3">
      <c r="G1607" s="6"/>
      <c r="AM1607" s="39"/>
    </row>
    <row r="1608" spans="7:39" s="4" customFormat="1" x14ac:dyDescent="0.3">
      <c r="G1608" s="6"/>
      <c r="AM1608" s="39"/>
    </row>
    <row r="1609" spans="7:39" s="4" customFormat="1" x14ac:dyDescent="0.3">
      <c r="G1609" s="6"/>
      <c r="AM1609" s="39"/>
    </row>
    <row r="1610" spans="7:39" s="4" customFormat="1" x14ac:dyDescent="0.3">
      <c r="G1610" s="6"/>
      <c r="AM1610" s="39"/>
    </row>
    <row r="1611" spans="7:39" s="4" customFormat="1" x14ac:dyDescent="0.3">
      <c r="G1611" s="6"/>
      <c r="AM1611" s="39"/>
    </row>
    <row r="1612" spans="7:39" s="4" customFormat="1" x14ac:dyDescent="0.3">
      <c r="G1612" s="6"/>
      <c r="AM1612" s="39"/>
    </row>
    <row r="1613" spans="7:39" s="4" customFormat="1" x14ac:dyDescent="0.3">
      <c r="G1613" s="6"/>
      <c r="AM1613" s="39"/>
    </row>
    <row r="1614" spans="7:39" s="4" customFormat="1" x14ac:dyDescent="0.3">
      <c r="G1614" s="6"/>
      <c r="AM1614" s="39"/>
    </row>
    <row r="1615" spans="7:39" s="4" customFormat="1" x14ac:dyDescent="0.3">
      <c r="G1615" s="6"/>
      <c r="AM1615" s="39"/>
    </row>
    <row r="1616" spans="7:39" s="4" customFormat="1" x14ac:dyDescent="0.3">
      <c r="G1616" s="6"/>
      <c r="AM1616" s="39"/>
    </row>
    <row r="1617" spans="7:39" s="4" customFormat="1" x14ac:dyDescent="0.3">
      <c r="G1617" s="6"/>
      <c r="AM1617" s="39"/>
    </row>
    <row r="1618" spans="7:39" s="4" customFormat="1" x14ac:dyDescent="0.3">
      <c r="G1618" s="6"/>
      <c r="AM1618" s="39"/>
    </row>
    <row r="1619" spans="7:39" s="4" customFormat="1" x14ac:dyDescent="0.3">
      <c r="G1619" s="6"/>
      <c r="AM1619" s="39"/>
    </row>
    <row r="1620" spans="7:39" s="4" customFormat="1" x14ac:dyDescent="0.3">
      <c r="G1620" s="6"/>
      <c r="AM1620" s="39"/>
    </row>
    <row r="1621" spans="7:39" s="4" customFormat="1" x14ac:dyDescent="0.3">
      <c r="G1621" s="6"/>
      <c r="AM1621" s="39"/>
    </row>
    <row r="1622" spans="7:39" s="4" customFormat="1" x14ac:dyDescent="0.3">
      <c r="G1622" s="6"/>
      <c r="AM1622" s="39"/>
    </row>
    <row r="1623" spans="7:39" s="4" customFormat="1" x14ac:dyDescent="0.3">
      <c r="G1623" s="6"/>
      <c r="AM1623" s="39"/>
    </row>
    <row r="1624" spans="7:39" s="4" customFormat="1" x14ac:dyDescent="0.3">
      <c r="G1624" s="6"/>
      <c r="AM1624" s="39"/>
    </row>
    <row r="1625" spans="7:39" s="4" customFormat="1" x14ac:dyDescent="0.3">
      <c r="G1625" s="6"/>
      <c r="AM1625" s="39"/>
    </row>
    <row r="1626" spans="7:39" s="4" customFormat="1" x14ac:dyDescent="0.3">
      <c r="G1626" s="6"/>
      <c r="AM1626" s="39"/>
    </row>
    <row r="1627" spans="7:39" s="4" customFormat="1" x14ac:dyDescent="0.3">
      <c r="G1627" s="6"/>
      <c r="AM1627" s="39"/>
    </row>
    <row r="1628" spans="7:39" s="4" customFormat="1" x14ac:dyDescent="0.3">
      <c r="G1628" s="6"/>
      <c r="AM1628" s="39"/>
    </row>
    <row r="1629" spans="7:39" s="4" customFormat="1" x14ac:dyDescent="0.3">
      <c r="G1629" s="6"/>
      <c r="AM1629" s="39"/>
    </row>
    <row r="1630" spans="7:39" s="4" customFormat="1" x14ac:dyDescent="0.3">
      <c r="G1630" s="6"/>
      <c r="AM1630" s="39"/>
    </row>
    <row r="1631" spans="7:39" s="4" customFormat="1" x14ac:dyDescent="0.3">
      <c r="G1631" s="6"/>
      <c r="AM1631" s="39"/>
    </row>
    <row r="1632" spans="7:39" s="4" customFormat="1" x14ac:dyDescent="0.3">
      <c r="G1632" s="6"/>
      <c r="AM1632" s="39"/>
    </row>
    <row r="1633" spans="7:39" s="4" customFormat="1" x14ac:dyDescent="0.3">
      <c r="G1633" s="6"/>
      <c r="AM1633" s="39"/>
    </row>
    <row r="1634" spans="7:39" s="4" customFormat="1" x14ac:dyDescent="0.3">
      <c r="G1634" s="6"/>
      <c r="AM1634" s="39"/>
    </row>
    <row r="1635" spans="7:39" s="4" customFormat="1" x14ac:dyDescent="0.3">
      <c r="G1635" s="6"/>
      <c r="AM1635" s="39"/>
    </row>
    <row r="1636" spans="7:39" s="4" customFormat="1" x14ac:dyDescent="0.3">
      <c r="G1636" s="6"/>
      <c r="AM1636" s="39"/>
    </row>
    <row r="1637" spans="7:39" s="4" customFormat="1" x14ac:dyDescent="0.3">
      <c r="G1637" s="6"/>
      <c r="AM1637" s="39"/>
    </row>
    <row r="1638" spans="7:39" s="4" customFormat="1" x14ac:dyDescent="0.3">
      <c r="G1638" s="6"/>
      <c r="AM1638" s="39"/>
    </row>
    <row r="1639" spans="7:39" s="4" customFormat="1" x14ac:dyDescent="0.3">
      <c r="G1639" s="6"/>
      <c r="AM1639" s="39"/>
    </row>
    <row r="1640" spans="7:39" s="4" customFormat="1" x14ac:dyDescent="0.3">
      <c r="G1640" s="6"/>
      <c r="AM1640" s="39"/>
    </row>
    <row r="1641" spans="7:39" s="4" customFormat="1" x14ac:dyDescent="0.3">
      <c r="G1641" s="6"/>
      <c r="AM1641" s="39"/>
    </row>
    <row r="1642" spans="7:39" s="4" customFormat="1" x14ac:dyDescent="0.3">
      <c r="G1642" s="6"/>
      <c r="AM1642" s="39"/>
    </row>
    <row r="1643" spans="7:39" s="4" customFormat="1" x14ac:dyDescent="0.3">
      <c r="G1643" s="6"/>
      <c r="AM1643" s="39"/>
    </row>
    <row r="1644" spans="7:39" s="4" customFormat="1" x14ac:dyDescent="0.3">
      <c r="G1644" s="6"/>
      <c r="AM1644" s="39"/>
    </row>
    <row r="1645" spans="7:39" s="4" customFormat="1" x14ac:dyDescent="0.3">
      <c r="G1645" s="6"/>
      <c r="AM1645" s="39"/>
    </row>
    <row r="1646" spans="7:39" s="4" customFormat="1" x14ac:dyDescent="0.3">
      <c r="G1646" s="6"/>
      <c r="AM1646" s="39"/>
    </row>
    <row r="1647" spans="7:39" s="4" customFormat="1" x14ac:dyDescent="0.3">
      <c r="G1647" s="6"/>
      <c r="AM1647" s="39"/>
    </row>
    <row r="1648" spans="7:39" s="4" customFormat="1" x14ac:dyDescent="0.3">
      <c r="G1648" s="6"/>
      <c r="AM1648" s="39"/>
    </row>
    <row r="1649" spans="7:39" s="4" customFormat="1" x14ac:dyDescent="0.3">
      <c r="G1649" s="6"/>
      <c r="AM1649" s="39"/>
    </row>
    <row r="1650" spans="7:39" s="4" customFormat="1" x14ac:dyDescent="0.3">
      <c r="G1650" s="6"/>
      <c r="AM1650" s="39"/>
    </row>
    <row r="1651" spans="7:39" s="4" customFormat="1" x14ac:dyDescent="0.3">
      <c r="G1651" s="6"/>
      <c r="AM1651" s="39"/>
    </row>
    <row r="1652" spans="7:39" s="4" customFormat="1" x14ac:dyDescent="0.3">
      <c r="G1652" s="6"/>
      <c r="AM1652" s="39"/>
    </row>
    <row r="1653" spans="7:39" s="4" customFormat="1" x14ac:dyDescent="0.3">
      <c r="G1653" s="6"/>
      <c r="AM1653" s="39"/>
    </row>
    <row r="1654" spans="7:39" s="4" customFormat="1" x14ac:dyDescent="0.3">
      <c r="G1654" s="6"/>
      <c r="AM1654" s="39"/>
    </row>
    <row r="1655" spans="7:39" s="4" customFormat="1" x14ac:dyDescent="0.3">
      <c r="G1655" s="6"/>
      <c r="AM1655" s="39"/>
    </row>
    <row r="1656" spans="7:39" s="4" customFormat="1" x14ac:dyDescent="0.3">
      <c r="G1656" s="6"/>
      <c r="AM1656" s="39"/>
    </row>
    <row r="1657" spans="7:39" s="4" customFormat="1" x14ac:dyDescent="0.3">
      <c r="G1657" s="6"/>
      <c r="AM1657" s="39"/>
    </row>
    <row r="1658" spans="7:39" s="4" customFormat="1" x14ac:dyDescent="0.3">
      <c r="G1658" s="6"/>
      <c r="AM1658" s="39"/>
    </row>
    <row r="1659" spans="7:39" s="4" customFormat="1" x14ac:dyDescent="0.3">
      <c r="G1659" s="6"/>
      <c r="AM1659" s="39"/>
    </row>
    <row r="1660" spans="7:39" s="4" customFormat="1" x14ac:dyDescent="0.3">
      <c r="G1660" s="6"/>
      <c r="AM1660" s="39"/>
    </row>
    <row r="1661" spans="7:39" s="4" customFormat="1" x14ac:dyDescent="0.3">
      <c r="G1661" s="6"/>
      <c r="AM1661" s="39"/>
    </row>
    <row r="1662" spans="7:39" s="4" customFormat="1" x14ac:dyDescent="0.3">
      <c r="G1662" s="6"/>
      <c r="AM1662" s="39"/>
    </row>
    <row r="1663" spans="7:39" s="4" customFormat="1" x14ac:dyDescent="0.3">
      <c r="G1663" s="6"/>
      <c r="AM1663" s="39"/>
    </row>
    <row r="1664" spans="7:39" s="4" customFormat="1" x14ac:dyDescent="0.3">
      <c r="G1664" s="6"/>
      <c r="AM1664" s="39"/>
    </row>
    <row r="1665" spans="7:39" s="4" customFormat="1" x14ac:dyDescent="0.3">
      <c r="G1665" s="6"/>
      <c r="AM1665" s="39"/>
    </row>
    <row r="1666" spans="7:39" s="4" customFormat="1" x14ac:dyDescent="0.3">
      <c r="G1666" s="6"/>
      <c r="AM1666" s="39"/>
    </row>
    <row r="1667" spans="7:39" s="4" customFormat="1" x14ac:dyDescent="0.3">
      <c r="G1667" s="6"/>
      <c r="AM1667" s="39"/>
    </row>
    <row r="1668" spans="7:39" s="4" customFormat="1" x14ac:dyDescent="0.3">
      <c r="G1668" s="6"/>
      <c r="AM1668" s="39"/>
    </row>
    <row r="1669" spans="7:39" s="4" customFormat="1" x14ac:dyDescent="0.3">
      <c r="G1669" s="6"/>
      <c r="AM1669" s="39"/>
    </row>
    <row r="1670" spans="7:39" s="4" customFormat="1" x14ac:dyDescent="0.3">
      <c r="G1670" s="6"/>
      <c r="AM1670" s="39"/>
    </row>
    <row r="1671" spans="7:39" s="4" customFormat="1" x14ac:dyDescent="0.3">
      <c r="G1671" s="6"/>
      <c r="AM1671" s="39"/>
    </row>
    <row r="1672" spans="7:39" s="4" customFormat="1" x14ac:dyDescent="0.3">
      <c r="G1672" s="6"/>
      <c r="AM1672" s="39"/>
    </row>
    <row r="1673" spans="7:39" s="4" customFormat="1" x14ac:dyDescent="0.3">
      <c r="G1673" s="6"/>
      <c r="AM1673" s="39"/>
    </row>
    <row r="1674" spans="7:39" s="4" customFormat="1" x14ac:dyDescent="0.3">
      <c r="G1674" s="6"/>
      <c r="AM1674" s="39"/>
    </row>
    <row r="1675" spans="7:39" s="4" customFormat="1" x14ac:dyDescent="0.3">
      <c r="G1675" s="6"/>
      <c r="AM1675" s="39"/>
    </row>
    <row r="1676" spans="7:39" s="4" customFormat="1" x14ac:dyDescent="0.3">
      <c r="G1676" s="6"/>
      <c r="AM1676" s="39"/>
    </row>
    <row r="1677" spans="7:39" s="4" customFormat="1" x14ac:dyDescent="0.3">
      <c r="G1677" s="6"/>
      <c r="AM1677" s="39"/>
    </row>
    <row r="1678" spans="7:39" s="4" customFormat="1" x14ac:dyDescent="0.3">
      <c r="G1678" s="6"/>
      <c r="AM1678" s="39"/>
    </row>
    <row r="1679" spans="7:39" s="4" customFormat="1" x14ac:dyDescent="0.3">
      <c r="G1679" s="6"/>
      <c r="AM1679" s="39"/>
    </row>
    <row r="1680" spans="7:39" s="4" customFormat="1" x14ac:dyDescent="0.3">
      <c r="G1680" s="6"/>
      <c r="AM1680" s="39"/>
    </row>
    <row r="1681" spans="7:39" s="4" customFormat="1" x14ac:dyDescent="0.3">
      <c r="G1681" s="6"/>
      <c r="AM1681" s="39"/>
    </row>
    <row r="1682" spans="7:39" s="4" customFormat="1" x14ac:dyDescent="0.3">
      <c r="G1682" s="6"/>
      <c r="AM1682" s="39"/>
    </row>
    <row r="1683" spans="7:39" s="4" customFormat="1" x14ac:dyDescent="0.3">
      <c r="G1683" s="6"/>
      <c r="AM1683" s="39"/>
    </row>
    <row r="1684" spans="7:39" s="4" customFormat="1" x14ac:dyDescent="0.3">
      <c r="G1684" s="6"/>
      <c r="AM1684" s="39"/>
    </row>
    <row r="1685" spans="7:39" s="4" customFormat="1" x14ac:dyDescent="0.3">
      <c r="G1685" s="6"/>
      <c r="AM1685" s="39"/>
    </row>
    <row r="1686" spans="7:39" s="4" customFormat="1" x14ac:dyDescent="0.3">
      <c r="G1686" s="6"/>
      <c r="AM1686" s="39"/>
    </row>
    <row r="1687" spans="7:39" s="4" customFormat="1" x14ac:dyDescent="0.3">
      <c r="G1687" s="6"/>
      <c r="AM1687" s="39"/>
    </row>
    <row r="1688" spans="7:39" s="4" customFormat="1" x14ac:dyDescent="0.3">
      <c r="G1688" s="6"/>
      <c r="AM1688" s="39"/>
    </row>
    <row r="1689" spans="7:39" s="4" customFormat="1" x14ac:dyDescent="0.3">
      <c r="G1689" s="6"/>
      <c r="AM1689" s="39"/>
    </row>
    <row r="1690" spans="7:39" s="4" customFormat="1" x14ac:dyDescent="0.3">
      <c r="G1690" s="6"/>
      <c r="AM1690" s="39"/>
    </row>
    <row r="1691" spans="7:39" s="4" customFormat="1" x14ac:dyDescent="0.3">
      <c r="G1691" s="6"/>
      <c r="AM1691" s="39"/>
    </row>
    <row r="1692" spans="7:39" s="4" customFormat="1" x14ac:dyDescent="0.3">
      <c r="G1692" s="6"/>
      <c r="AM1692" s="39"/>
    </row>
    <row r="1693" spans="7:39" s="4" customFormat="1" x14ac:dyDescent="0.3">
      <c r="G1693" s="6"/>
      <c r="AM1693" s="39"/>
    </row>
    <row r="1694" spans="7:39" s="4" customFormat="1" x14ac:dyDescent="0.3">
      <c r="G1694" s="6"/>
      <c r="AM1694" s="39"/>
    </row>
    <row r="1695" spans="7:39" s="4" customFormat="1" x14ac:dyDescent="0.3">
      <c r="G1695" s="6"/>
      <c r="AM1695" s="39"/>
    </row>
    <row r="1696" spans="7:39" s="4" customFormat="1" x14ac:dyDescent="0.3">
      <c r="G1696" s="6"/>
      <c r="AM1696" s="39"/>
    </row>
    <row r="1697" spans="7:39" s="4" customFormat="1" x14ac:dyDescent="0.3">
      <c r="G1697" s="6"/>
      <c r="AM1697" s="39"/>
    </row>
    <row r="1698" spans="7:39" s="4" customFormat="1" x14ac:dyDescent="0.3">
      <c r="G1698" s="6"/>
      <c r="AM1698" s="39"/>
    </row>
    <row r="1699" spans="7:39" s="4" customFormat="1" x14ac:dyDescent="0.3">
      <c r="G1699" s="6"/>
      <c r="AM1699" s="39"/>
    </row>
    <row r="1700" spans="7:39" s="4" customFormat="1" x14ac:dyDescent="0.3">
      <c r="G1700" s="6"/>
      <c r="AM1700" s="39"/>
    </row>
    <row r="1701" spans="7:39" s="4" customFormat="1" x14ac:dyDescent="0.3">
      <c r="G1701" s="6"/>
      <c r="AM1701" s="39"/>
    </row>
    <row r="1702" spans="7:39" s="4" customFormat="1" x14ac:dyDescent="0.3">
      <c r="G1702" s="6"/>
      <c r="AM1702" s="39"/>
    </row>
    <row r="1703" spans="7:39" s="4" customFormat="1" x14ac:dyDescent="0.3">
      <c r="G1703" s="6"/>
      <c r="AM1703" s="39"/>
    </row>
    <row r="1704" spans="7:39" s="4" customFormat="1" x14ac:dyDescent="0.3">
      <c r="G1704" s="6"/>
      <c r="AM1704" s="39"/>
    </row>
    <row r="1705" spans="7:39" s="4" customFormat="1" x14ac:dyDescent="0.3">
      <c r="G1705" s="6"/>
      <c r="AM1705" s="39"/>
    </row>
    <row r="1706" spans="7:39" s="4" customFormat="1" x14ac:dyDescent="0.3">
      <c r="G1706" s="6"/>
      <c r="AM1706" s="39"/>
    </row>
    <row r="1707" spans="7:39" s="4" customFormat="1" x14ac:dyDescent="0.3">
      <c r="G1707" s="6"/>
      <c r="AM1707" s="39"/>
    </row>
    <row r="1708" spans="7:39" s="4" customFormat="1" x14ac:dyDescent="0.3">
      <c r="G1708" s="6"/>
      <c r="AM1708" s="39"/>
    </row>
    <row r="1709" spans="7:39" s="4" customFormat="1" x14ac:dyDescent="0.3">
      <c r="G1709" s="6"/>
      <c r="AM1709" s="39"/>
    </row>
    <row r="1710" spans="7:39" s="4" customFormat="1" x14ac:dyDescent="0.3">
      <c r="G1710" s="6"/>
      <c r="AM1710" s="39"/>
    </row>
    <row r="1711" spans="7:39" s="4" customFormat="1" x14ac:dyDescent="0.3">
      <c r="G1711" s="6"/>
      <c r="AM1711" s="39"/>
    </row>
    <row r="1712" spans="7:39" s="4" customFormat="1" x14ac:dyDescent="0.3">
      <c r="G1712" s="6"/>
      <c r="AM1712" s="39"/>
    </row>
    <row r="1713" spans="7:39" s="4" customFormat="1" x14ac:dyDescent="0.3">
      <c r="G1713" s="6"/>
      <c r="AM1713" s="39"/>
    </row>
    <row r="1714" spans="7:39" s="4" customFormat="1" x14ac:dyDescent="0.3">
      <c r="G1714" s="6"/>
      <c r="AM1714" s="39"/>
    </row>
    <row r="1715" spans="7:39" s="4" customFormat="1" x14ac:dyDescent="0.3">
      <c r="G1715" s="6"/>
      <c r="AM1715" s="39"/>
    </row>
    <row r="1716" spans="7:39" s="4" customFormat="1" x14ac:dyDescent="0.3">
      <c r="G1716" s="6"/>
      <c r="AM1716" s="39"/>
    </row>
    <row r="1717" spans="7:39" s="4" customFormat="1" x14ac:dyDescent="0.3">
      <c r="G1717" s="6"/>
      <c r="AM1717" s="39"/>
    </row>
    <row r="1718" spans="7:39" s="4" customFormat="1" x14ac:dyDescent="0.3">
      <c r="G1718" s="6"/>
      <c r="AM1718" s="39"/>
    </row>
    <row r="1719" spans="7:39" s="4" customFormat="1" x14ac:dyDescent="0.3">
      <c r="G1719" s="6"/>
      <c r="AM1719" s="39"/>
    </row>
    <row r="1720" spans="7:39" s="4" customFormat="1" x14ac:dyDescent="0.3">
      <c r="G1720" s="6"/>
      <c r="AM1720" s="39"/>
    </row>
    <row r="1721" spans="7:39" s="4" customFormat="1" x14ac:dyDescent="0.3">
      <c r="G1721" s="6"/>
      <c r="AM1721" s="39"/>
    </row>
    <row r="1722" spans="7:39" s="4" customFormat="1" x14ac:dyDescent="0.3">
      <c r="G1722" s="6"/>
      <c r="AM1722" s="39"/>
    </row>
    <row r="1723" spans="7:39" s="4" customFormat="1" x14ac:dyDescent="0.3">
      <c r="G1723" s="6"/>
      <c r="AM1723" s="39"/>
    </row>
    <row r="1724" spans="7:39" s="4" customFormat="1" x14ac:dyDescent="0.3">
      <c r="G1724" s="6"/>
      <c r="AM1724" s="39"/>
    </row>
    <row r="1725" spans="7:39" s="4" customFormat="1" x14ac:dyDescent="0.3">
      <c r="G1725" s="6"/>
      <c r="AM1725" s="39"/>
    </row>
    <row r="1726" spans="7:39" s="4" customFormat="1" x14ac:dyDescent="0.3">
      <c r="G1726" s="6"/>
      <c r="AM1726" s="39"/>
    </row>
    <row r="1727" spans="7:39" s="4" customFormat="1" x14ac:dyDescent="0.3">
      <c r="G1727" s="6"/>
      <c r="AM1727" s="39"/>
    </row>
    <row r="1728" spans="7:39" s="4" customFormat="1" x14ac:dyDescent="0.3">
      <c r="G1728" s="6"/>
      <c r="AM1728" s="39"/>
    </row>
    <row r="1729" spans="7:39" s="4" customFormat="1" x14ac:dyDescent="0.3">
      <c r="G1729" s="6"/>
      <c r="AM1729" s="39"/>
    </row>
    <row r="1730" spans="7:39" s="4" customFormat="1" x14ac:dyDescent="0.3">
      <c r="G1730" s="6"/>
      <c r="AM1730" s="39"/>
    </row>
    <row r="1731" spans="7:39" s="4" customFormat="1" x14ac:dyDescent="0.3">
      <c r="G1731" s="6"/>
      <c r="AM1731" s="39"/>
    </row>
    <row r="1732" spans="7:39" s="4" customFormat="1" x14ac:dyDescent="0.3">
      <c r="G1732" s="6"/>
      <c r="AM1732" s="39"/>
    </row>
    <row r="1733" spans="7:39" s="4" customFormat="1" x14ac:dyDescent="0.3">
      <c r="G1733" s="6"/>
      <c r="AM1733" s="39"/>
    </row>
    <row r="1734" spans="7:39" s="4" customFormat="1" x14ac:dyDescent="0.3">
      <c r="G1734" s="6"/>
      <c r="AM1734" s="39"/>
    </row>
    <row r="1735" spans="7:39" s="4" customFormat="1" x14ac:dyDescent="0.3">
      <c r="G1735" s="6"/>
      <c r="AM1735" s="39"/>
    </row>
    <row r="1736" spans="7:39" s="4" customFormat="1" x14ac:dyDescent="0.3">
      <c r="G1736" s="6"/>
      <c r="AM1736" s="39"/>
    </row>
    <row r="1737" spans="7:39" s="4" customFormat="1" x14ac:dyDescent="0.3">
      <c r="G1737" s="6"/>
      <c r="AM1737" s="39"/>
    </row>
    <row r="1738" spans="7:39" s="4" customFormat="1" x14ac:dyDescent="0.3">
      <c r="G1738" s="6"/>
      <c r="AM1738" s="39"/>
    </row>
    <row r="1739" spans="7:39" s="4" customFormat="1" x14ac:dyDescent="0.3">
      <c r="G1739" s="6"/>
      <c r="AM1739" s="39"/>
    </row>
    <row r="1740" spans="7:39" s="4" customFormat="1" x14ac:dyDescent="0.3">
      <c r="G1740" s="6"/>
      <c r="AM1740" s="39"/>
    </row>
    <row r="1741" spans="7:39" s="4" customFormat="1" x14ac:dyDescent="0.3">
      <c r="G1741" s="6"/>
      <c r="AM1741" s="39"/>
    </row>
    <row r="1742" spans="7:39" s="4" customFormat="1" x14ac:dyDescent="0.3">
      <c r="G1742" s="6"/>
      <c r="AM1742" s="39"/>
    </row>
    <row r="1743" spans="7:39" s="4" customFormat="1" x14ac:dyDescent="0.3">
      <c r="G1743" s="6"/>
      <c r="AM1743" s="39"/>
    </row>
    <row r="1744" spans="7:39" s="4" customFormat="1" x14ac:dyDescent="0.3">
      <c r="G1744" s="6"/>
      <c r="AM1744" s="39"/>
    </row>
    <row r="1745" spans="7:39" s="4" customFormat="1" x14ac:dyDescent="0.3">
      <c r="G1745" s="6"/>
      <c r="AM1745" s="39"/>
    </row>
    <row r="1746" spans="7:39" s="4" customFormat="1" x14ac:dyDescent="0.3">
      <c r="G1746" s="6"/>
      <c r="AM1746" s="39"/>
    </row>
    <row r="1747" spans="7:39" s="4" customFormat="1" x14ac:dyDescent="0.3">
      <c r="G1747" s="6"/>
      <c r="AM1747" s="39"/>
    </row>
    <row r="1748" spans="7:39" s="4" customFormat="1" x14ac:dyDescent="0.3">
      <c r="G1748" s="6"/>
      <c r="AM1748" s="39"/>
    </row>
    <row r="1749" spans="7:39" s="4" customFormat="1" x14ac:dyDescent="0.3">
      <c r="G1749" s="6"/>
      <c r="AM1749" s="39"/>
    </row>
    <row r="1750" spans="7:39" s="4" customFormat="1" x14ac:dyDescent="0.3">
      <c r="G1750" s="6"/>
      <c r="AM1750" s="39"/>
    </row>
    <row r="1751" spans="7:39" s="4" customFormat="1" x14ac:dyDescent="0.3">
      <c r="G1751" s="6"/>
      <c r="AM1751" s="39"/>
    </row>
    <row r="1752" spans="7:39" s="4" customFormat="1" x14ac:dyDescent="0.3">
      <c r="G1752" s="6"/>
      <c r="AM1752" s="39"/>
    </row>
    <row r="1753" spans="7:39" s="4" customFormat="1" x14ac:dyDescent="0.3">
      <c r="G1753" s="6"/>
      <c r="AM1753" s="39"/>
    </row>
    <row r="1754" spans="7:39" s="4" customFormat="1" x14ac:dyDescent="0.3">
      <c r="G1754" s="6"/>
      <c r="AM1754" s="39"/>
    </row>
    <row r="1755" spans="7:39" s="4" customFormat="1" x14ac:dyDescent="0.3">
      <c r="G1755" s="6"/>
      <c r="AM1755" s="39"/>
    </row>
    <row r="1756" spans="7:39" s="4" customFormat="1" x14ac:dyDescent="0.3">
      <c r="G1756" s="6"/>
      <c r="AM1756" s="39"/>
    </row>
    <row r="1757" spans="7:39" s="4" customFormat="1" x14ac:dyDescent="0.3">
      <c r="G1757" s="6"/>
      <c r="AM1757" s="39"/>
    </row>
    <row r="1758" spans="7:39" s="4" customFormat="1" x14ac:dyDescent="0.3">
      <c r="G1758" s="6"/>
      <c r="AM1758" s="39"/>
    </row>
    <row r="1759" spans="7:39" s="4" customFormat="1" x14ac:dyDescent="0.3">
      <c r="G1759" s="6"/>
      <c r="AM1759" s="39"/>
    </row>
    <row r="1760" spans="7:39" s="4" customFormat="1" x14ac:dyDescent="0.3">
      <c r="G1760" s="6"/>
      <c r="AM1760" s="39"/>
    </row>
    <row r="1761" spans="7:39" s="4" customFormat="1" x14ac:dyDescent="0.3">
      <c r="G1761" s="6"/>
      <c r="AM1761" s="39"/>
    </row>
    <row r="1762" spans="7:39" s="4" customFormat="1" x14ac:dyDescent="0.3">
      <c r="G1762" s="6"/>
      <c r="AM1762" s="39"/>
    </row>
    <row r="1763" spans="7:39" s="4" customFormat="1" x14ac:dyDescent="0.3">
      <c r="G1763" s="6"/>
      <c r="AM1763" s="39"/>
    </row>
    <row r="1764" spans="7:39" s="4" customFormat="1" x14ac:dyDescent="0.3">
      <c r="G1764" s="6"/>
      <c r="AM1764" s="39"/>
    </row>
    <row r="1765" spans="7:39" s="4" customFormat="1" x14ac:dyDescent="0.3">
      <c r="G1765" s="6"/>
      <c r="AM1765" s="39"/>
    </row>
    <row r="1766" spans="7:39" s="4" customFormat="1" x14ac:dyDescent="0.3">
      <c r="G1766" s="6"/>
      <c r="AM1766" s="39"/>
    </row>
    <row r="1767" spans="7:39" s="4" customFormat="1" x14ac:dyDescent="0.3">
      <c r="G1767" s="6"/>
      <c r="AM1767" s="39"/>
    </row>
    <row r="1768" spans="7:39" s="4" customFormat="1" x14ac:dyDescent="0.3">
      <c r="G1768" s="6"/>
      <c r="AM1768" s="39"/>
    </row>
    <row r="1769" spans="7:39" s="4" customFormat="1" x14ac:dyDescent="0.3">
      <c r="G1769" s="6"/>
      <c r="AM1769" s="39"/>
    </row>
    <row r="1770" spans="7:39" s="4" customFormat="1" x14ac:dyDescent="0.3">
      <c r="G1770" s="6"/>
      <c r="AM1770" s="39"/>
    </row>
    <row r="1771" spans="7:39" s="4" customFormat="1" x14ac:dyDescent="0.3">
      <c r="G1771" s="6"/>
      <c r="AM1771" s="39"/>
    </row>
    <row r="1772" spans="7:39" s="4" customFormat="1" x14ac:dyDescent="0.3">
      <c r="G1772" s="6"/>
      <c r="AM1772" s="39"/>
    </row>
    <row r="1773" spans="7:39" s="4" customFormat="1" x14ac:dyDescent="0.3">
      <c r="G1773" s="6"/>
      <c r="AM1773" s="39"/>
    </row>
    <row r="1774" spans="7:39" s="4" customFormat="1" x14ac:dyDescent="0.3">
      <c r="G1774" s="6"/>
      <c r="AM1774" s="39"/>
    </row>
    <row r="1775" spans="7:39" s="4" customFormat="1" x14ac:dyDescent="0.3">
      <c r="G1775" s="6"/>
      <c r="AM1775" s="39"/>
    </row>
    <row r="1776" spans="7:39" s="4" customFormat="1" x14ac:dyDescent="0.3">
      <c r="G1776" s="6"/>
      <c r="AM1776" s="39"/>
    </row>
    <row r="1777" spans="7:39" s="4" customFormat="1" x14ac:dyDescent="0.3">
      <c r="G1777" s="6"/>
      <c r="AM1777" s="39"/>
    </row>
    <row r="1778" spans="7:39" s="4" customFormat="1" x14ac:dyDescent="0.3">
      <c r="G1778" s="6"/>
      <c r="AM1778" s="39"/>
    </row>
    <row r="1779" spans="7:39" s="4" customFormat="1" x14ac:dyDescent="0.3">
      <c r="G1779" s="6"/>
      <c r="AM1779" s="39"/>
    </row>
    <row r="1780" spans="7:39" s="4" customFormat="1" x14ac:dyDescent="0.3">
      <c r="G1780" s="6"/>
      <c r="AM1780" s="39"/>
    </row>
    <row r="1781" spans="7:39" s="4" customFormat="1" x14ac:dyDescent="0.3">
      <c r="G1781" s="6"/>
      <c r="AM1781" s="39"/>
    </row>
    <row r="1782" spans="7:39" s="4" customFormat="1" x14ac:dyDescent="0.3">
      <c r="G1782" s="6"/>
      <c r="AM1782" s="39"/>
    </row>
    <row r="1783" spans="7:39" s="4" customFormat="1" x14ac:dyDescent="0.3">
      <c r="G1783" s="6"/>
      <c r="AM1783" s="39"/>
    </row>
    <row r="1784" spans="7:39" s="4" customFormat="1" x14ac:dyDescent="0.3">
      <c r="G1784" s="6"/>
      <c r="AM1784" s="39"/>
    </row>
    <row r="1785" spans="7:39" s="4" customFormat="1" x14ac:dyDescent="0.3">
      <c r="G1785" s="6"/>
      <c r="AM1785" s="39"/>
    </row>
    <row r="1786" spans="7:39" s="4" customFormat="1" x14ac:dyDescent="0.3">
      <c r="G1786" s="6"/>
      <c r="AM1786" s="39"/>
    </row>
    <row r="1787" spans="7:39" s="4" customFormat="1" x14ac:dyDescent="0.3">
      <c r="G1787" s="6"/>
      <c r="AM1787" s="39"/>
    </row>
    <row r="1788" spans="7:39" s="4" customFormat="1" x14ac:dyDescent="0.3">
      <c r="G1788" s="6"/>
      <c r="AM1788" s="39"/>
    </row>
    <row r="1789" spans="7:39" s="4" customFormat="1" x14ac:dyDescent="0.3">
      <c r="G1789" s="6"/>
      <c r="AM1789" s="39"/>
    </row>
    <row r="1790" spans="7:39" s="4" customFormat="1" x14ac:dyDescent="0.3">
      <c r="G1790" s="6"/>
      <c r="AM1790" s="39"/>
    </row>
    <row r="1791" spans="7:39" s="4" customFormat="1" x14ac:dyDescent="0.3">
      <c r="G1791" s="6"/>
      <c r="AM1791" s="39"/>
    </row>
    <row r="1792" spans="7:39" s="4" customFormat="1" x14ac:dyDescent="0.3">
      <c r="G1792" s="6"/>
      <c r="AM1792" s="39"/>
    </row>
    <row r="1793" spans="7:39" s="4" customFormat="1" x14ac:dyDescent="0.3">
      <c r="G1793" s="6"/>
      <c r="AM1793" s="39"/>
    </row>
    <row r="1794" spans="7:39" s="4" customFormat="1" x14ac:dyDescent="0.3">
      <c r="G1794" s="6"/>
      <c r="AM1794" s="39"/>
    </row>
    <row r="1795" spans="7:39" s="4" customFormat="1" x14ac:dyDescent="0.3">
      <c r="G1795" s="6"/>
      <c r="AM1795" s="39"/>
    </row>
    <row r="1796" spans="7:39" s="4" customFormat="1" x14ac:dyDescent="0.3">
      <c r="G1796" s="6"/>
      <c r="AM1796" s="39"/>
    </row>
    <row r="1797" spans="7:39" s="4" customFormat="1" x14ac:dyDescent="0.3">
      <c r="G1797" s="6"/>
      <c r="AM1797" s="39"/>
    </row>
    <row r="1798" spans="7:39" s="4" customFormat="1" x14ac:dyDescent="0.3">
      <c r="G1798" s="6"/>
      <c r="AM1798" s="39"/>
    </row>
    <row r="1799" spans="7:39" s="4" customFormat="1" x14ac:dyDescent="0.3">
      <c r="G1799" s="6"/>
      <c r="AM1799" s="39"/>
    </row>
    <row r="1800" spans="7:39" s="4" customFormat="1" x14ac:dyDescent="0.3">
      <c r="G1800" s="6"/>
      <c r="AM1800" s="39"/>
    </row>
    <row r="1801" spans="7:39" s="4" customFormat="1" x14ac:dyDescent="0.3">
      <c r="G1801" s="6"/>
      <c r="AM1801" s="39"/>
    </row>
    <row r="1802" spans="7:39" s="4" customFormat="1" x14ac:dyDescent="0.3">
      <c r="G1802" s="6"/>
      <c r="AM1802" s="39"/>
    </row>
    <row r="1803" spans="7:39" s="4" customFormat="1" x14ac:dyDescent="0.3">
      <c r="G1803" s="6"/>
      <c r="AM1803" s="39"/>
    </row>
    <row r="1804" spans="7:39" s="4" customFormat="1" x14ac:dyDescent="0.3">
      <c r="G1804" s="6"/>
      <c r="AM1804" s="39"/>
    </row>
    <row r="1805" spans="7:39" s="4" customFormat="1" x14ac:dyDescent="0.3">
      <c r="G1805" s="6"/>
      <c r="AM1805" s="39"/>
    </row>
    <row r="1806" spans="7:39" s="4" customFormat="1" x14ac:dyDescent="0.3">
      <c r="G1806" s="6"/>
      <c r="AM1806" s="39"/>
    </row>
    <row r="1807" spans="7:39" s="4" customFormat="1" x14ac:dyDescent="0.3">
      <c r="G1807" s="6"/>
      <c r="AM1807" s="39"/>
    </row>
    <row r="1808" spans="7:39" s="4" customFormat="1" x14ac:dyDescent="0.3">
      <c r="G1808" s="6"/>
      <c r="AM1808" s="39"/>
    </row>
    <row r="1809" spans="7:39" s="4" customFormat="1" x14ac:dyDescent="0.3">
      <c r="G1809" s="6"/>
      <c r="AM1809" s="39"/>
    </row>
    <row r="1810" spans="7:39" s="4" customFormat="1" x14ac:dyDescent="0.3">
      <c r="G1810" s="6"/>
      <c r="AM1810" s="39"/>
    </row>
    <row r="1811" spans="7:39" s="4" customFormat="1" x14ac:dyDescent="0.3">
      <c r="G1811" s="6"/>
      <c r="AM1811" s="39"/>
    </row>
    <row r="1812" spans="7:39" s="4" customFormat="1" x14ac:dyDescent="0.3">
      <c r="G1812" s="6"/>
      <c r="AM1812" s="39"/>
    </row>
    <row r="1813" spans="7:39" s="4" customFormat="1" x14ac:dyDescent="0.3">
      <c r="G1813" s="6"/>
      <c r="AM1813" s="39"/>
    </row>
    <row r="1814" spans="7:39" s="4" customFormat="1" x14ac:dyDescent="0.3">
      <c r="G1814" s="6"/>
      <c r="AM1814" s="39"/>
    </row>
    <row r="1815" spans="7:39" s="4" customFormat="1" x14ac:dyDescent="0.3">
      <c r="G1815" s="6"/>
      <c r="AM1815" s="39"/>
    </row>
    <row r="1816" spans="7:39" s="4" customFormat="1" x14ac:dyDescent="0.3">
      <c r="G1816" s="6"/>
      <c r="AM1816" s="39"/>
    </row>
    <row r="1817" spans="7:39" s="4" customFormat="1" x14ac:dyDescent="0.3">
      <c r="G1817" s="6"/>
      <c r="AM1817" s="39"/>
    </row>
    <row r="1818" spans="7:39" s="4" customFormat="1" x14ac:dyDescent="0.3">
      <c r="G1818" s="6"/>
      <c r="AM1818" s="39"/>
    </row>
    <row r="1819" spans="7:39" s="4" customFormat="1" x14ac:dyDescent="0.3">
      <c r="G1819" s="6"/>
      <c r="AM1819" s="39"/>
    </row>
    <row r="1820" spans="7:39" s="4" customFormat="1" x14ac:dyDescent="0.3">
      <c r="G1820" s="6"/>
      <c r="AM1820" s="39"/>
    </row>
    <row r="1821" spans="7:39" s="4" customFormat="1" x14ac:dyDescent="0.3">
      <c r="G1821" s="6"/>
      <c r="AM1821" s="39"/>
    </row>
    <row r="1822" spans="7:39" s="4" customFormat="1" x14ac:dyDescent="0.3">
      <c r="G1822" s="6"/>
      <c r="AM1822" s="39"/>
    </row>
    <row r="1823" spans="7:39" s="4" customFormat="1" x14ac:dyDescent="0.3">
      <c r="G1823" s="6"/>
      <c r="AM1823" s="39"/>
    </row>
    <row r="1824" spans="7:39" s="4" customFormat="1" x14ac:dyDescent="0.3">
      <c r="G1824" s="6"/>
      <c r="AM1824" s="39"/>
    </row>
    <row r="1825" spans="7:39" s="4" customFormat="1" x14ac:dyDescent="0.3">
      <c r="G1825" s="6"/>
      <c r="AM1825" s="39"/>
    </row>
    <row r="1826" spans="7:39" s="4" customFormat="1" x14ac:dyDescent="0.3">
      <c r="G1826" s="6"/>
      <c r="AM1826" s="39"/>
    </row>
    <row r="1827" spans="7:39" s="4" customFormat="1" x14ac:dyDescent="0.3">
      <c r="G1827" s="6"/>
      <c r="AM1827" s="39"/>
    </row>
    <row r="1828" spans="7:39" s="4" customFormat="1" x14ac:dyDescent="0.3">
      <c r="G1828" s="6"/>
      <c r="AM1828" s="39"/>
    </row>
    <row r="1829" spans="7:39" s="4" customFormat="1" x14ac:dyDescent="0.3">
      <c r="G1829" s="6"/>
      <c r="AM1829" s="39"/>
    </row>
    <row r="1830" spans="7:39" s="4" customFormat="1" x14ac:dyDescent="0.3">
      <c r="G1830" s="6"/>
      <c r="AM1830" s="39"/>
    </row>
    <row r="1831" spans="7:39" s="4" customFormat="1" x14ac:dyDescent="0.3">
      <c r="G1831" s="6"/>
      <c r="AM1831" s="39"/>
    </row>
    <row r="1832" spans="7:39" s="4" customFormat="1" x14ac:dyDescent="0.3">
      <c r="G1832" s="6"/>
      <c r="AM1832" s="39"/>
    </row>
    <row r="1833" spans="7:39" s="4" customFormat="1" x14ac:dyDescent="0.3">
      <c r="G1833" s="6"/>
      <c r="AM1833" s="39"/>
    </row>
    <row r="1834" spans="7:39" s="4" customFormat="1" x14ac:dyDescent="0.3">
      <c r="G1834" s="6"/>
      <c r="AM1834" s="39"/>
    </row>
    <row r="1835" spans="7:39" s="4" customFormat="1" x14ac:dyDescent="0.3">
      <c r="G1835" s="6"/>
      <c r="AM1835" s="39"/>
    </row>
    <row r="1836" spans="7:39" s="4" customFormat="1" x14ac:dyDescent="0.3">
      <c r="G1836" s="6"/>
      <c r="AM1836" s="39"/>
    </row>
    <row r="1837" spans="7:39" s="4" customFormat="1" x14ac:dyDescent="0.3">
      <c r="G1837" s="6"/>
      <c r="AM1837" s="39"/>
    </row>
    <row r="1838" spans="7:39" s="4" customFormat="1" x14ac:dyDescent="0.3">
      <c r="G1838" s="6"/>
      <c r="AM1838" s="39"/>
    </row>
    <row r="1839" spans="7:39" s="4" customFormat="1" x14ac:dyDescent="0.3">
      <c r="G1839" s="6"/>
      <c r="AM1839" s="39"/>
    </row>
    <row r="1840" spans="7:39" s="4" customFormat="1" x14ac:dyDescent="0.3">
      <c r="G1840" s="6"/>
      <c r="AM1840" s="39"/>
    </row>
    <row r="1841" spans="7:39" s="4" customFormat="1" x14ac:dyDescent="0.3">
      <c r="G1841" s="6"/>
      <c r="AM1841" s="39"/>
    </row>
    <row r="1842" spans="7:39" s="4" customFormat="1" x14ac:dyDescent="0.3">
      <c r="G1842" s="6"/>
      <c r="AM1842" s="39"/>
    </row>
    <row r="1843" spans="7:39" s="4" customFormat="1" x14ac:dyDescent="0.3">
      <c r="G1843" s="6"/>
      <c r="AM1843" s="39"/>
    </row>
    <row r="1844" spans="7:39" s="4" customFormat="1" x14ac:dyDescent="0.3">
      <c r="G1844" s="6"/>
      <c r="AM1844" s="39"/>
    </row>
    <row r="1845" spans="7:39" s="4" customFormat="1" x14ac:dyDescent="0.3">
      <c r="G1845" s="6"/>
      <c r="AM1845" s="39"/>
    </row>
    <row r="1846" spans="7:39" s="4" customFormat="1" x14ac:dyDescent="0.3">
      <c r="G1846" s="6"/>
      <c r="AM1846" s="39"/>
    </row>
    <row r="1847" spans="7:39" s="4" customFormat="1" x14ac:dyDescent="0.3">
      <c r="G1847" s="6"/>
      <c r="AM1847" s="39"/>
    </row>
    <row r="1848" spans="7:39" s="4" customFormat="1" x14ac:dyDescent="0.3">
      <c r="G1848" s="6"/>
      <c r="AM1848" s="39"/>
    </row>
    <row r="1849" spans="7:39" s="4" customFormat="1" x14ac:dyDescent="0.3">
      <c r="G1849" s="6"/>
      <c r="AM1849" s="39"/>
    </row>
    <row r="1850" spans="7:39" s="4" customFormat="1" x14ac:dyDescent="0.3">
      <c r="G1850" s="6"/>
      <c r="AM1850" s="39"/>
    </row>
    <row r="1851" spans="7:39" s="4" customFormat="1" x14ac:dyDescent="0.3">
      <c r="G1851" s="6"/>
      <c r="AM1851" s="39"/>
    </row>
    <row r="1852" spans="7:39" s="4" customFormat="1" x14ac:dyDescent="0.3">
      <c r="G1852" s="6"/>
      <c r="AM1852" s="39"/>
    </row>
    <row r="1853" spans="7:39" s="4" customFormat="1" x14ac:dyDescent="0.3">
      <c r="G1853" s="6"/>
      <c r="AM1853" s="39"/>
    </row>
    <row r="1854" spans="7:39" s="4" customFormat="1" x14ac:dyDescent="0.3">
      <c r="G1854" s="6"/>
      <c r="AM1854" s="39"/>
    </row>
    <row r="1855" spans="7:39" s="4" customFormat="1" x14ac:dyDescent="0.3">
      <c r="G1855" s="6"/>
      <c r="AM1855" s="39"/>
    </row>
    <row r="1856" spans="7:39" s="4" customFormat="1" x14ac:dyDescent="0.3">
      <c r="G1856" s="6"/>
      <c r="AM1856" s="39"/>
    </row>
    <row r="1857" spans="7:39" s="4" customFormat="1" x14ac:dyDescent="0.3">
      <c r="G1857" s="6"/>
      <c r="AM1857" s="39"/>
    </row>
    <row r="1858" spans="7:39" s="4" customFormat="1" x14ac:dyDescent="0.3">
      <c r="G1858" s="6"/>
      <c r="AM1858" s="39"/>
    </row>
    <row r="1859" spans="7:39" s="4" customFormat="1" x14ac:dyDescent="0.3">
      <c r="G1859" s="6"/>
      <c r="AM1859" s="39"/>
    </row>
    <row r="1860" spans="7:39" s="4" customFormat="1" x14ac:dyDescent="0.3">
      <c r="G1860" s="6"/>
      <c r="AM1860" s="39"/>
    </row>
    <row r="1861" spans="7:39" s="4" customFormat="1" x14ac:dyDescent="0.3">
      <c r="G1861" s="6"/>
      <c r="AM1861" s="39"/>
    </row>
    <row r="1862" spans="7:39" s="4" customFormat="1" x14ac:dyDescent="0.3">
      <c r="G1862" s="6"/>
      <c r="AM1862" s="39"/>
    </row>
    <row r="1863" spans="7:39" s="4" customFormat="1" x14ac:dyDescent="0.3">
      <c r="G1863" s="6"/>
      <c r="AM1863" s="39"/>
    </row>
    <row r="1864" spans="7:39" s="4" customFormat="1" x14ac:dyDescent="0.3">
      <c r="G1864" s="6"/>
      <c r="AM1864" s="39"/>
    </row>
    <row r="1865" spans="7:39" s="4" customFormat="1" x14ac:dyDescent="0.3">
      <c r="G1865" s="6"/>
      <c r="AM1865" s="39"/>
    </row>
    <row r="1866" spans="7:39" s="4" customFormat="1" x14ac:dyDescent="0.3">
      <c r="G1866" s="6"/>
      <c r="AM1866" s="39"/>
    </row>
    <row r="1867" spans="7:39" s="4" customFormat="1" x14ac:dyDescent="0.3">
      <c r="G1867" s="6"/>
      <c r="AM1867" s="39"/>
    </row>
    <row r="1868" spans="7:39" s="4" customFormat="1" x14ac:dyDescent="0.3">
      <c r="G1868" s="6"/>
      <c r="AM1868" s="39"/>
    </row>
    <row r="1869" spans="7:39" s="4" customFormat="1" x14ac:dyDescent="0.3">
      <c r="G1869" s="6"/>
      <c r="AM1869" s="39"/>
    </row>
    <row r="1870" spans="7:39" s="4" customFormat="1" x14ac:dyDescent="0.3">
      <c r="G1870" s="6"/>
      <c r="AM1870" s="39"/>
    </row>
    <row r="1871" spans="7:39" s="4" customFormat="1" x14ac:dyDescent="0.3">
      <c r="G1871" s="6"/>
      <c r="AM1871" s="39"/>
    </row>
    <row r="1872" spans="7:39" s="4" customFormat="1" x14ac:dyDescent="0.3">
      <c r="G1872" s="6"/>
      <c r="AM1872" s="39"/>
    </row>
    <row r="1873" spans="7:39" s="4" customFormat="1" x14ac:dyDescent="0.3">
      <c r="G1873" s="6"/>
      <c r="AM1873" s="39"/>
    </row>
    <row r="1874" spans="7:39" s="4" customFormat="1" x14ac:dyDescent="0.3">
      <c r="G1874" s="6"/>
      <c r="AM1874" s="39"/>
    </row>
    <row r="1875" spans="7:39" s="4" customFormat="1" x14ac:dyDescent="0.3">
      <c r="G1875" s="6"/>
      <c r="AM1875" s="39"/>
    </row>
    <row r="1876" spans="7:39" s="4" customFormat="1" x14ac:dyDescent="0.3">
      <c r="G1876" s="6"/>
      <c r="AM1876" s="39"/>
    </row>
    <row r="1877" spans="7:39" s="4" customFormat="1" x14ac:dyDescent="0.3">
      <c r="G1877" s="6"/>
      <c r="AM1877" s="39"/>
    </row>
    <row r="1878" spans="7:39" s="4" customFormat="1" x14ac:dyDescent="0.3">
      <c r="G1878" s="6"/>
      <c r="AM1878" s="39"/>
    </row>
    <row r="1879" spans="7:39" s="4" customFormat="1" x14ac:dyDescent="0.3">
      <c r="G1879" s="6"/>
      <c r="AM1879" s="39"/>
    </row>
    <row r="1880" spans="7:39" s="4" customFormat="1" x14ac:dyDescent="0.3">
      <c r="G1880" s="6"/>
      <c r="AM1880" s="39"/>
    </row>
    <row r="1881" spans="7:39" s="4" customFormat="1" x14ac:dyDescent="0.3">
      <c r="G1881" s="6"/>
      <c r="AM1881" s="39"/>
    </row>
    <row r="1882" spans="7:39" s="4" customFormat="1" x14ac:dyDescent="0.3">
      <c r="G1882" s="6"/>
      <c r="AM1882" s="39"/>
    </row>
    <row r="1883" spans="7:39" s="4" customFormat="1" x14ac:dyDescent="0.3">
      <c r="G1883" s="6"/>
      <c r="AM1883" s="39"/>
    </row>
    <row r="1884" spans="7:39" s="4" customFormat="1" x14ac:dyDescent="0.3">
      <c r="G1884" s="6"/>
      <c r="AM1884" s="39"/>
    </row>
    <row r="1885" spans="7:39" s="4" customFormat="1" x14ac:dyDescent="0.3">
      <c r="G1885" s="6"/>
      <c r="AM1885" s="39"/>
    </row>
    <row r="1886" spans="7:39" s="4" customFormat="1" x14ac:dyDescent="0.3">
      <c r="G1886" s="6"/>
      <c r="AM1886" s="39"/>
    </row>
    <row r="1887" spans="7:39" s="4" customFormat="1" x14ac:dyDescent="0.3">
      <c r="G1887" s="6"/>
      <c r="AM1887" s="39"/>
    </row>
    <row r="1888" spans="7:39" s="4" customFormat="1" x14ac:dyDescent="0.3">
      <c r="G1888" s="6"/>
      <c r="AM1888" s="39"/>
    </row>
    <row r="1889" spans="7:39" s="4" customFormat="1" x14ac:dyDescent="0.3">
      <c r="G1889" s="6"/>
      <c r="AM1889" s="39"/>
    </row>
    <row r="1890" spans="7:39" s="4" customFormat="1" x14ac:dyDescent="0.3">
      <c r="G1890" s="6"/>
      <c r="AM1890" s="39"/>
    </row>
    <row r="1891" spans="7:39" s="4" customFormat="1" x14ac:dyDescent="0.3">
      <c r="G1891" s="6"/>
      <c r="AM1891" s="39"/>
    </row>
    <row r="1892" spans="7:39" s="4" customFormat="1" x14ac:dyDescent="0.3">
      <c r="G1892" s="6"/>
      <c r="AM1892" s="39"/>
    </row>
    <row r="1893" spans="7:39" s="4" customFormat="1" x14ac:dyDescent="0.3">
      <c r="G1893" s="6"/>
      <c r="AM1893" s="39"/>
    </row>
    <row r="1894" spans="7:39" s="4" customFormat="1" x14ac:dyDescent="0.3">
      <c r="G1894" s="6"/>
      <c r="AM1894" s="39"/>
    </row>
    <row r="1895" spans="7:39" s="4" customFormat="1" x14ac:dyDescent="0.3">
      <c r="G1895" s="6"/>
      <c r="AM1895" s="39"/>
    </row>
    <row r="1896" spans="7:39" s="4" customFormat="1" x14ac:dyDescent="0.3">
      <c r="G1896" s="6"/>
      <c r="AM1896" s="39"/>
    </row>
    <row r="1897" spans="7:39" s="4" customFormat="1" x14ac:dyDescent="0.3">
      <c r="G1897" s="6"/>
      <c r="AM1897" s="39"/>
    </row>
    <row r="1898" spans="7:39" s="4" customFormat="1" x14ac:dyDescent="0.3">
      <c r="G1898" s="6"/>
      <c r="AM1898" s="39"/>
    </row>
    <row r="1899" spans="7:39" s="4" customFormat="1" x14ac:dyDescent="0.3">
      <c r="G1899" s="6"/>
      <c r="AM1899" s="39"/>
    </row>
    <row r="1900" spans="7:39" s="4" customFormat="1" x14ac:dyDescent="0.3">
      <c r="G1900" s="6"/>
      <c r="AM1900" s="39"/>
    </row>
    <row r="1901" spans="7:39" s="4" customFormat="1" x14ac:dyDescent="0.3">
      <c r="G1901" s="6"/>
      <c r="AM1901" s="39"/>
    </row>
    <row r="1902" spans="7:39" s="4" customFormat="1" x14ac:dyDescent="0.3">
      <c r="G1902" s="6"/>
      <c r="AM1902" s="39"/>
    </row>
    <row r="1903" spans="7:39" s="4" customFormat="1" x14ac:dyDescent="0.3">
      <c r="G1903" s="6"/>
      <c r="AM1903" s="39"/>
    </row>
    <row r="1904" spans="7:39" s="4" customFormat="1" x14ac:dyDescent="0.3">
      <c r="G1904" s="6"/>
      <c r="AM1904" s="39"/>
    </row>
    <row r="1905" spans="7:39" s="4" customFormat="1" x14ac:dyDescent="0.3">
      <c r="G1905" s="6"/>
      <c r="AM1905" s="39"/>
    </row>
    <row r="1906" spans="7:39" s="4" customFormat="1" x14ac:dyDescent="0.3">
      <c r="G1906" s="6"/>
      <c r="AM1906" s="39"/>
    </row>
    <row r="1907" spans="7:39" s="4" customFormat="1" x14ac:dyDescent="0.3">
      <c r="G1907" s="6"/>
      <c r="AM1907" s="39"/>
    </row>
    <row r="1908" spans="7:39" s="4" customFormat="1" x14ac:dyDescent="0.3">
      <c r="G1908" s="6"/>
      <c r="AM1908" s="39"/>
    </row>
    <row r="1909" spans="7:39" s="4" customFormat="1" x14ac:dyDescent="0.3">
      <c r="G1909" s="6"/>
      <c r="AM1909" s="39"/>
    </row>
    <row r="1910" spans="7:39" s="4" customFormat="1" x14ac:dyDescent="0.3">
      <c r="G1910" s="6"/>
      <c r="AM1910" s="39"/>
    </row>
    <row r="1911" spans="7:39" s="4" customFormat="1" x14ac:dyDescent="0.3">
      <c r="G1911" s="6"/>
      <c r="AM1911" s="39"/>
    </row>
    <row r="1912" spans="7:39" s="4" customFormat="1" x14ac:dyDescent="0.3">
      <c r="G1912" s="6"/>
      <c r="AM1912" s="39"/>
    </row>
    <row r="1913" spans="7:39" s="4" customFormat="1" x14ac:dyDescent="0.3">
      <c r="G1913" s="6"/>
      <c r="AM1913" s="39"/>
    </row>
    <row r="1914" spans="7:39" s="4" customFormat="1" x14ac:dyDescent="0.3">
      <c r="G1914" s="6"/>
      <c r="AM1914" s="39"/>
    </row>
    <row r="1915" spans="7:39" s="4" customFormat="1" x14ac:dyDescent="0.3">
      <c r="G1915" s="6"/>
      <c r="AM1915" s="39"/>
    </row>
    <row r="1916" spans="7:39" s="4" customFormat="1" x14ac:dyDescent="0.3">
      <c r="G1916" s="6"/>
      <c r="AM1916" s="39"/>
    </row>
    <row r="1917" spans="7:39" s="4" customFormat="1" x14ac:dyDescent="0.3">
      <c r="G1917" s="6"/>
      <c r="AM1917" s="39"/>
    </row>
    <row r="1918" spans="7:39" s="4" customFormat="1" x14ac:dyDescent="0.3">
      <c r="G1918" s="6"/>
      <c r="AM1918" s="39"/>
    </row>
    <row r="1919" spans="7:39" s="4" customFormat="1" x14ac:dyDescent="0.3">
      <c r="G1919" s="6"/>
      <c r="AM1919" s="39"/>
    </row>
    <row r="1920" spans="7:39" s="4" customFormat="1" x14ac:dyDescent="0.3">
      <c r="G1920" s="6"/>
      <c r="AM1920" s="39"/>
    </row>
    <row r="1921" spans="7:39" s="4" customFormat="1" x14ac:dyDescent="0.3">
      <c r="G1921" s="6"/>
      <c r="AM1921" s="39"/>
    </row>
    <row r="1922" spans="7:39" s="4" customFormat="1" x14ac:dyDescent="0.3">
      <c r="G1922" s="6"/>
      <c r="AM1922" s="39"/>
    </row>
    <row r="1923" spans="7:39" s="4" customFormat="1" x14ac:dyDescent="0.3">
      <c r="G1923" s="6"/>
      <c r="AM1923" s="39"/>
    </row>
    <row r="1924" spans="7:39" s="4" customFormat="1" x14ac:dyDescent="0.3">
      <c r="G1924" s="6"/>
      <c r="AM1924" s="39"/>
    </row>
    <row r="1925" spans="7:39" s="4" customFormat="1" x14ac:dyDescent="0.3">
      <c r="G1925" s="6"/>
      <c r="AM1925" s="39"/>
    </row>
    <row r="1926" spans="7:39" s="4" customFormat="1" x14ac:dyDescent="0.3">
      <c r="G1926" s="6"/>
      <c r="AM1926" s="39"/>
    </row>
    <row r="1927" spans="7:39" s="4" customFormat="1" x14ac:dyDescent="0.3">
      <c r="G1927" s="6"/>
      <c r="AM1927" s="39"/>
    </row>
    <row r="1928" spans="7:39" s="4" customFormat="1" x14ac:dyDescent="0.3">
      <c r="G1928" s="6"/>
      <c r="AM1928" s="39"/>
    </row>
    <row r="1929" spans="7:39" s="4" customFormat="1" x14ac:dyDescent="0.3">
      <c r="G1929" s="6"/>
      <c r="AM1929" s="39"/>
    </row>
    <row r="1930" spans="7:39" s="4" customFormat="1" x14ac:dyDescent="0.3">
      <c r="G1930" s="6"/>
      <c r="AM1930" s="39"/>
    </row>
    <row r="1931" spans="7:39" s="4" customFormat="1" x14ac:dyDescent="0.3">
      <c r="G1931" s="6"/>
      <c r="AM1931" s="39"/>
    </row>
    <row r="1932" spans="7:39" s="4" customFormat="1" x14ac:dyDescent="0.3">
      <c r="G1932" s="6"/>
      <c r="AM1932" s="39"/>
    </row>
    <row r="1933" spans="7:39" s="4" customFormat="1" x14ac:dyDescent="0.3">
      <c r="G1933" s="6"/>
      <c r="AM1933" s="39"/>
    </row>
    <row r="1934" spans="7:39" s="4" customFormat="1" x14ac:dyDescent="0.3">
      <c r="G1934" s="6"/>
      <c r="AM1934" s="39"/>
    </row>
    <row r="1935" spans="7:39" s="4" customFormat="1" x14ac:dyDescent="0.3">
      <c r="G1935" s="6"/>
      <c r="AM1935" s="39"/>
    </row>
    <row r="1936" spans="7:39" s="4" customFormat="1" x14ac:dyDescent="0.3">
      <c r="G1936" s="6"/>
      <c r="AM1936" s="39"/>
    </row>
    <row r="1937" spans="7:39" s="4" customFormat="1" x14ac:dyDescent="0.3">
      <c r="G1937" s="6"/>
      <c r="AM1937" s="39"/>
    </row>
    <row r="1938" spans="7:39" s="4" customFormat="1" x14ac:dyDescent="0.3">
      <c r="G1938" s="6"/>
      <c r="AM1938" s="39"/>
    </row>
    <row r="1939" spans="7:39" s="4" customFormat="1" x14ac:dyDescent="0.3">
      <c r="G1939" s="6"/>
      <c r="AM1939" s="39"/>
    </row>
    <row r="1940" spans="7:39" s="4" customFormat="1" x14ac:dyDescent="0.3">
      <c r="G1940" s="6"/>
      <c r="AM1940" s="39"/>
    </row>
    <row r="1941" spans="7:39" s="4" customFormat="1" x14ac:dyDescent="0.3">
      <c r="G1941" s="6"/>
      <c r="AM1941" s="39"/>
    </row>
    <row r="1942" spans="7:39" s="4" customFormat="1" x14ac:dyDescent="0.3">
      <c r="G1942" s="6"/>
      <c r="AM1942" s="39"/>
    </row>
    <row r="1943" spans="7:39" s="4" customFormat="1" x14ac:dyDescent="0.3">
      <c r="G1943" s="6"/>
      <c r="AM1943" s="39"/>
    </row>
    <row r="1944" spans="7:39" s="4" customFormat="1" x14ac:dyDescent="0.3">
      <c r="G1944" s="6"/>
      <c r="AM1944" s="39"/>
    </row>
    <row r="1945" spans="7:39" s="4" customFormat="1" x14ac:dyDescent="0.3">
      <c r="G1945" s="6"/>
      <c r="AM1945" s="39"/>
    </row>
    <row r="1946" spans="7:39" s="4" customFormat="1" x14ac:dyDescent="0.3">
      <c r="G1946" s="6"/>
      <c r="AM1946" s="39"/>
    </row>
    <row r="1947" spans="7:39" s="4" customFormat="1" x14ac:dyDescent="0.3">
      <c r="G1947" s="6"/>
      <c r="AM1947" s="39"/>
    </row>
    <row r="1948" spans="7:39" s="4" customFormat="1" x14ac:dyDescent="0.3">
      <c r="G1948" s="6"/>
      <c r="AM1948" s="39"/>
    </row>
    <row r="1949" spans="7:39" s="4" customFormat="1" x14ac:dyDescent="0.3">
      <c r="G1949" s="6"/>
      <c r="AM1949" s="39"/>
    </row>
    <row r="1950" spans="7:39" s="4" customFormat="1" x14ac:dyDescent="0.3">
      <c r="G1950" s="6"/>
      <c r="AM1950" s="39"/>
    </row>
    <row r="1951" spans="7:39" s="4" customFormat="1" x14ac:dyDescent="0.3">
      <c r="G1951" s="6"/>
      <c r="AM1951" s="39"/>
    </row>
    <row r="1952" spans="7:39" s="4" customFormat="1" x14ac:dyDescent="0.3">
      <c r="G1952" s="6"/>
      <c r="AM1952" s="39"/>
    </row>
    <row r="1953" spans="7:39" s="4" customFormat="1" x14ac:dyDescent="0.3">
      <c r="G1953" s="6"/>
      <c r="AM1953" s="39"/>
    </row>
    <row r="1954" spans="7:39" s="4" customFormat="1" x14ac:dyDescent="0.3">
      <c r="G1954" s="6"/>
      <c r="AM1954" s="39"/>
    </row>
    <row r="1955" spans="7:39" s="4" customFormat="1" x14ac:dyDescent="0.3">
      <c r="G1955" s="6"/>
      <c r="AM1955" s="39"/>
    </row>
    <row r="1956" spans="7:39" s="4" customFormat="1" x14ac:dyDescent="0.3">
      <c r="G1956" s="6"/>
      <c r="AM1956" s="39"/>
    </row>
    <row r="1957" spans="7:39" s="4" customFormat="1" x14ac:dyDescent="0.3">
      <c r="G1957" s="6"/>
      <c r="AM1957" s="39"/>
    </row>
    <row r="1958" spans="7:39" s="4" customFormat="1" x14ac:dyDescent="0.3">
      <c r="G1958" s="6"/>
      <c r="AM1958" s="39"/>
    </row>
    <row r="1959" spans="7:39" s="4" customFormat="1" x14ac:dyDescent="0.3">
      <c r="G1959" s="6"/>
      <c r="AM1959" s="39"/>
    </row>
    <row r="1960" spans="7:39" s="4" customFormat="1" x14ac:dyDescent="0.3">
      <c r="G1960" s="6"/>
      <c r="AM1960" s="39"/>
    </row>
    <row r="1961" spans="7:39" s="4" customFormat="1" x14ac:dyDescent="0.3">
      <c r="G1961" s="6"/>
      <c r="AM1961" s="39"/>
    </row>
    <row r="1962" spans="7:39" s="4" customFormat="1" x14ac:dyDescent="0.3">
      <c r="G1962" s="6"/>
      <c r="AM1962" s="39"/>
    </row>
    <row r="1963" spans="7:39" s="4" customFormat="1" x14ac:dyDescent="0.3">
      <c r="G1963" s="6"/>
      <c r="AM1963" s="39"/>
    </row>
    <row r="1964" spans="7:39" s="4" customFormat="1" x14ac:dyDescent="0.3">
      <c r="G1964" s="6"/>
      <c r="AM1964" s="39"/>
    </row>
    <row r="1965" spans="7:39" s="4" customFormat="1" x14ac:dyDescent="0.3">
      <c r="G1965" s="6"/>
      <c r="AM1965" s="39"/>
    </row>
    <row r="1966" spans="7:39" s="4" customFormat="1" x14ac:dyDescent="0.3">
      <c r="G1966" s="6"/>
      <c r="AM1966" s="39"/>
    </row>
    <row r="1967" spans="7:39" s="4" customFormat="1" x14ac:dyDescent="0.3">
      <c r="G1967" s="6"/>
      <c r="AM1967" s="39"/>
    </row>
    <row r="1968" spans="7:39" s="4" customFormat="1" x14ac:dyDescent="0.3">
      <c r="G1968" s="6"/>
      <c r="AM1968" s="39"/>
    </row>
    <row r="1969" spans="7:39" s="4" customFormat="1" x14ac:dyDescent="0.3">
      <c r="G1969" s="6"/>
      <c r="AM1969" s="39"/>
    </row>
    <row r="1970" spans="7:39" s="4" customFormat="1" x14ac:dyDescent="0.3">
      <c r="G1970" s="6"/>
      <c r="AM1970" s="39"/>
    </row>
    <row r="1971" spans="7:39" s="4" customFormat="1" x14ac:dyDescent="0.3">
      <c r="G1971" s="6"/>
      <c r="AM1971" s="39"/>
    </row>
    <row r="1972" spans="7:39" s="4" customFormat="1" x14ac:dyDescent="0.3">
      <c r="G1972" s="6"/>
      <c r="AM1972" s="39"/>
    </row>
    <row r="1973" spans="7:39" s="4" customFormat="1" x14ac:dyDescent="0.3">
      <c r="G1973" s="6"/>
      <c r="AM1973" s="39"/>
    </row>
    <row r="1974" spans="7:39" s="4" customFormat="1" x14ac:dyDescent="0.3">
      <c r="G1974" s="6"/>
      <c r="AM1974" s="39"/>
    </row>
    <row r="1975" spans="7:39" s="4" customFormat="1" x14ac:dyDescent="0.3">
      <c r="G1975" s="6"/>
      <c r="AM1975" s="39"/>
    </row>
    <row r="1976" spans="7:39" s="4" customFormat="1" x14ac:dyDescent="0.3">
      <c r="G1976" s="6"/>
      <c r="AM1976" s="39"/>
    </row>
    <row r="1977" spans="7:39" s="4" customFormat="1" x14ac:dyDescent="0.3">
      <c r="G1977" s="6"/>
      <c r="AM1977" s="39"/>
    </row>
    <row r="1978" spans="7:39" s="4" customFormat="1" x14ac:dyDescent="0.3">
      <c r="G1978" s="6"/>
      <c r="AM1978" s="39"/>
    </row>
    <row r="1979" spans="7:39" s="4" customFormat="1" x14ac:dyDescent="0.3">
      <c r="G1979" s="6"/>
      <c r="AM1979" s="39"/>
    </row>
    <row r="1980" spans="7:39" s="4" customFormat="1" x14ac:dyDescent="0.3">
      <c r="G1980" s="6"/>
      <c r="AM1980" s="39"/>
    </row>
    <row r="1981" spans="7:39" s="4" customFormat="1" x14ac:dyDescent="0.3">
      <c r="G1981" s="6"/>
      <c r="AM1981" s="39"/>
    </row>
    <row r="1982" spans="7:39" s="4" customFormat="1" x14ac:dyDescent="0.3">
      <c r="G1982" s="6"/>
      <c r="AM1982" s="39"/>
    </row>
    <row r="1983" spans="7:39" s="4" customFormat="1" x14ac:dyDescent="0.3">
      <c r="G1983" s="6"/>
      <c r="AM1983" s="39"/>
    </row>
    <row r="1984" spans="7:39" s="4" customFormat="1" x14ac:dyDescent="0.3">
      <c r="G1984" s="6"/>
      <c r="AM1984" s="39"/>
    </row>
    <row r="1985" spans="7:39" s="4" customFormat="1" x14ac:dyDescent="0.3">
      <c r="G1985" s="6"/>
      <c r="AM1985" s="39"/>
    </row>
    <row r="1986" spans="7:39" s="4" customFormat="1" x14ac:dyDescent="0.3">
      <c r="G1986" s="6"/>
      <c r="AM1986" s="39"/>
    </row>
    <row r="1987" spans="7:39" s="4" customFormat="1" x14ac:dyDescent="0.3">
      <c r="G1987" s="6"/>
      <c r="AM1987" s="39"/>
    </row>
    <row r="1988" spans="7:39" s="4" customFormat="1" x14ac:dyDescent="0.3">
      <c r="G1988" s="6"/>
      <c r="AM1988" s="39"/>
    </row>
    <row r="1989" spans="7:39" s="4" customFormat="1" x14ac:dyDescent="0.3">
      <c r="G1989" s="6"/>
      <c r="AM1989" s="39"/>
    </row>
    <row r="1990" spans="7:39" s="4" customFormat="1" x14ac:dyDescent="0.3">
      <c r="G1990" s="6"/>
      <c r="AM1990" s="39"/>
    </row>
    <row r="1991" spans="7:39" s="4" customFormat="1" x14ac:dyDescent="0.3">
      <c r="G1991" s="6"/>
      <c r="AM1991" s="39"/>
    </row>
    <row r="1992" spans="7:39" s="4" customFormat="1" x14ac:dyDescent="0.3">
      <c r="G1992" s="6"/>
      <c r="AM1992" s="39"/>
    </row>
    <row r="1993" spans="7:39" s="4" customFormat="1" x14ac:dyDescent="0.3">
      <c r="G1993" s="6"/>
      <c r="AM1993" s="39"/>
    </row>
    <row r="1994" spans="7:39" s="4" customFormat="1" x14ac:dyDescent="0.3">
      <c r="G1994" s="6"/>
      <c r="AM1994" s="39"/>
    </row>
    <row r="1995" spans="7:39" s="4" customFormat="1" x14ac:dyDescent="0.3">
      <c r="G1995" s="6"/>
      <c r="AM1995" s="39"/>
    </row>
    <row r="1996" spans="7:39" s="4" customFormat="1" x14ac:dyDescent="0.3">
      <c r="G1996" s="6"/>
      <c r="AM1996" s="39"/>
    </row>
    <row r="1997" spans="7:39" s="4" customFormat="1" x14ac:dyDescent="0.3">
      <c r="G1997" s="6"/>
      <c r="AM1997" s="39"/>
    </row>
    <row r="1998" spans="7:39" s="4" customFormat="1" x14ac:dyDescent="0.3">
      <c r="G1998" s="6"/>
      <c r="AM1998" s="39"/>
    </row>
    <row r="1999" spans="7:39" s="4" customFormat="1" x14ac:dyDescent="0.3">
      <c r="G1999" s="6"/>
      <c r="AM1999" s="39"/>
    </row>
    <row r="2000" spans="7:39" s="4" customFormat="1" x14ac:dyDescent="0.3">
      <c r="G2000" s="6"/>
      <c r="AM2000" s="39"/>
    </row>
    <row r="2001" spans="7:39" s="4" customFormat="1" x14ac:dyDescent="0.3">
      <c r="G2001" s="6"/>
      <c r="AM2001" s="39"/>
    </row>
    <row r="2002" spans="7:39" s="4" customFormat="1" x14ac:dyDescent="0.3">
      <c r="G2002" s="6"/>
      <c r="AM2002" s="39"/>
    </row>
    <row r="2003" spans="7:39" s="4" customFormat="1" x14ac:dyDescent="0.3">
      <c r="G2003" s="6"/>
      <c r="AM2003" s="39"/>
    </row>
    <row r="2004" spans="7:39" s="4" customFormat="1" x14ac:dyDescent="0.3">
      <c r="G2004" s="6"/>
      <c r="AM2004" s="39"/>
    </row>
    <row r="2005" spans="7:39" s="4" customFormat="1" x14ac:dyDescent="0.3">
      <c r="G2005" s="6"/>
      <c r="AM2005" s="39"/>
    </row>
    <row r="2006" spans="7:39" s="4" customFormat="1" x14ac:dyDescent="0.3">
      <c r="G2006" s="6"/>
      <c r="AM2006" s="39"/>
    </row>
    <row r="2007" spans="7:39" s="4" customFormat="1" x14ac:dyDescent="0.3">
      <c r="G2007" s="6"/>
      <c r="AM2007" s="39"/>
    </row>
    <row r="2008" spans="7:39" s="4" customFormat="1" x14ac:dyDescent="0.3">
      <c r="G2008" s="6"/>
      <c r="AM2008" s="39"/>
    </row>
    <row r="2009" spans="7:39" s="4" customFormat="1" x14ac:dyDescent="0.3">
      <c r="G2009" s="6"/>
      <c r="AM2009" s="39"/>
    </row>
    <row r="2010" spans="7:39" s="4" customFormat="1" x14ac:dyDescent="0.3">
      <c r="G2010" s="6"/>
      <c r="AM2010" s="39"/>
    </row>
    <row r="2011" spans="7:39" s="4" customFormat="1" x14ac:dyDescent="0.3">
      <c r="G2011" s="6"/>
      <c r="AM2011" s="39"/>
    </row>
    <row r="2012" spans="7:39" s="4" customFormat="1" x14ac:dyDescent="0.3">
      <c r="G2012" s="6"/>
      <c r="AM2012" s="39"/>
    </row>
    <row r="2013" spans="7:39" s="4" customFormat="1" x14ac:dyDescent="0.3">
      <c r="G2013" s="6"/>
      <c r="AM2013" s="39"/>
    </row>
    <row r="2014" spans="7:39" s="4" customFormat="1" x14ac:dyDescent="0.3">
      <c r="G2014" s="6"/>
      <c r="AM2014" s="39"/>
    </row>
    <row r="2015" spans="7:39" s="4" customFormat="1" x14ac:dyDescent="0.3">
      <c r="G2015" s="6"/>
      <c r="AM2015" s="39"/>
    </row>
    <row r="2016" spans="7:39" s="4" customFormat="1" x14ac:dyDescent="0.3">
      <c r="G2016" s="6"/>
      <c r="AM2016" s="39"/>
    </row>
    <row r="2017" spans="7:39" s="4" customFormat="1" x14ac:dyDescent="0.3">
      <c r="G2017" s="6"/>
      <c r="AM2017" s="39"/>
    </row>
    <row r="2018" spans="7:39" s="4" customFormat="1" x14ac:dyDescent="0.3">
      <c r="G2018" s="6"/>
      <c r="AM2018" s="39"/>
    </row>
    <row r="2019" spans="7:39" s="4" customFormat="1" x14ac:dyDescent="0.3">
      <c r="G2019" s="6"/>
      <c r="AM2019" s="39"/>
    </row>
    <row r="2020" spans="7:39" s="4" customFormat="1" x14ac:dyDescent="0.3">
      <c r="G2020" s="6"/>
      <c r="AM2020" s="39"/>
    </row>
    <row r="2021" spans="7:39" s="4" customFormat="1" x14ac:dyDescent="0.3">
      <c r="G2021" s="6"/>
      <c r="AM2021" s="39"/>
    </row>
    <row r="2022" spans="7:39" s="4" customFormat="1" x14ac:dyDescent="0.3">
      <c r="G2022" s="6"/>
      <c r="AM2022" s="39"/>
    </row>
    <row r="2023" spans="7:39" s="4" customFormat="1" x14ac:dyDescent="0.3">
      <c r="G2023" s="6"/>
      <c r="AM2023" s="39"/>
    </row>
    <row r="2024" spans="7:39" s="4" customFormat="1" x14ac:dyDescent="0.3">
      <c r="G2024" s="6"/>
      <c r="AM2024" s="39"/>
    </row>
    <row r="2025" spans="7:39" s="4" customFormat="1" x14ac:dyDescent="0.3">
      <c r="G2025" s="6"/>
      <c r="AM2025" s="39"/>
    </row>
    <row r="2026" spans="7:39" s="4" customFormat="1" x14ac:dyDescent="0.3">
      <c r="G2026" s="6"/>
      <c r="AM2026" s="39"/>
    </row>
    <row r="2027" spans="7:39" s="4" customFormat="1" x14ac:dyDescent="0.3">
      <c r="G2027" s="6"/>
      <c r="AM2027" s="39"/>
    </row>
    <row r="2028" spans="7:39" s="4" customFormat="1" x14ac:dyDescent="0.3">
      <c r="G2028" s="6"/>
      <c r="AM2028" s="39"/>
    </row>
    <row r="2029" spans="7:39" s="4" customFormat="1" x14ac:dyDescent="0.3">
      <c r="G2029" s="6"/>
      <c r="AM2029" s="39"/>
    </row>
    <row r="2030" spans="7:39" s="4" customFormat="1" x14ac:dyDescent="0.3">
      <c r="G2030" s="6"/>
      <c r="AM2030" s="39"/>
    </row>
    <row r="2031" spans="7:39" s="4" customFormat="1" x14ac:dyDescent="0.3">
      <c r="G2031" s="6"/>
      <c r="AM2031" s="39"/>
    </row>
    <row r="2032" spans="7:39" s="4" customFormat="1" x14ac:dyDescent="0.3">
      <c r="G2032" s="6"/>
      <c r="AM2032" s="39"/>
    </row>
    <row r="2033" spans="7:39" s="4" customFormat="1" x14ac:dyDescent="0.3">
      <c r="G2033" s="6"/>
      <c r="AM2033" s="39"/>
    </row>
    <row r="2034" spans="7:39" s="4" customFormat="1" x14ac:dyDescent="0.3">
      <c r="G2034" s="6"/>
      <c r="AM2034" s="39"/>
    </row>
    <row r="2035" spans="7:39" s="4" customFormat="1" x14ac:dyDescent="0.3">
      <c r="G2035" s="6"/>
      <c r="AM2035" s="39"/>
    </row>
    <row r="2036" spans="7:39" s="4" customFormat="1" x14ac:dyDescent="0.3">
      <c r="G2036" s="6"/>
      <c r="AM2036" s="39"/>
    </row>
    <row r="2037" spans="7:39" s="4" customFormat="1" x14ac:dyDescent="0.3">
      <c r="G2037" s="6"/>
      <c r="AM2037" s="39"/>
    </row>
    <row r="2038" spans="7:39" s="4" customFormat="1" x14ac:dyDescent="0.3">
      <c r="G2038" s="6"/>
      <c r="AM2038" s="39"/>
    </row>
    <row r="2039" spans="7:39" s="4" customFormat="1" x14ac:dyDescent="0.3">
      <c r="G2039" s="6"/>
      <c r="AM2039" s="39"/>
    </row>
    <row r="2040" spans="7:39" s="4" customFormat="1" x14ac:dyDescent="0.3">
      <c r="G2040" s="6"/>
      <c r="AM2040" s="39"/>
    </row>
    <row r="2041" spans="7:39" s="4" customFormat="1" x14ac:dyDescent="0.3">
      <c r="G2041" s="6"/>
      <c r="AM2041" s="39"/>
    </row>
    <row r="2042" spans="7:39" s="4" customFormat="1" x14ac:dyDescent="0.3">
      <c r="G2042" s="6"/>
      <c r="AM2042" s="39"/>
    </row>
    <row r="2043" spans="7:39" s="4" customFormat="1" x14ac:dyDescent="0.3">
      <c r="G2043" s="6"/>
      <c r="AM2043" s="39"/>
    </row>
    <row r="2044" spans="7:39" s="4" customFormat="1" x14ac:dyDescent="0.3">
      <c r="G2044" s="6"/>
      <c r="AM2044" s="39"/>
    </row>
    <row r="2045" spans="7:39" s="4" customFormat="1" x14ac:dyDescent="0.3">
      <c r="G2045" s="6"/>
      <c r="AM2045" s="39"/>
    </row>
    <row r="2046" spans="7:39" s="4" customFormat="1" x14ac:dyDescent="0.3">
      <c r="G2046" s="6"/>
      <c r="AM2046" s="39"/>
    </row>
    <row r="2047" spans="7:39" s="4" customFormat="1" x14ac:dyDescent="0.3">
      <c r="G2047" s="6"/>
      <c r="AM2047" s="39"/>
    </row>
    <row r="2048" spans="7:39" s="4" customFormat="1" x14ac:dyDescent="0.3">
      <c r="G2048" s="6"/>
      <c r="AM2048" s="39"/>
    </row>
    <row r="2049" spans="7:39" s="4" customFormat="1" x14ac:dyDescent="0.3">
      <c r="G2049" s="6"/>
      <c r="AM2049" s="39"/>
    </row>
    <row r="2050" spans="7:39" s="4" customFormat="1" x14ac:dyDescent="0.3">
      <c r="G2050" s="6"/>
      <c r="AM2050" s="39"/>
    </row>
    <row r="2051" spans="7:39" s="4" customFormat="1" x14ac:dyDescent="0.3">
      <c r="G2051" s="6"/>
      <c r="AM2051" s="39"/>
    </row>
    <row r="2052" spans="7:39" s="4" customFormat="1" x14ac:dyDescent="0.3">
      <c r="G2052" s="6"/>
      <c r="AM2052" s="39"/>
    </row>
    <row r="2053" spans="7:39" s="4" customFormat="1" x14ac:dyDescent="0.3">
      <c r="G2053" s="6"/>
      <c r="AM2053" s="39"/>
    </row>
    <row r="2054" spans="7:39" s="4" customFormat="1" x14ac:dyDescent="0.3">
      <c r="G2054" s="6"/>
      <c r="AM2054" s="39"/>
    </row>
    <row r="2055" spans="7:39" s="4" customFormat="1" x14ac:dyDescent="0.3">
      <c r="G2055" s="6"/>
      <c r="AM2055" s="39"/>
    </row>
    <row r="2056" spans="7:39" s="4" customFormat="1" x14ac:dyDescent="0.3">
      <c r="G2056" s="6"/>
      <c r="AM2056" s="39"/>
    </row>
    <row r="2057" spans="7:39" s="4" customFormat="1" x14ac:dyDescent="0.3">
      <c r="G2057" s="6"/>
      <c r="AM2057" s="39"/>
    </row>
    <row r="2058" spans="7:39" s="4" customFormat="1" x14ac:dyDescent="0.3">
      <c r="G2058" s="6"/>
      <c r="AM2058" s="39"/>
    </row>
    <row r="2059" spans="7:39" s="4" customFormat="1" x14ac:dyDescent="0.3">
      <c r="G2059" s="6"/>
      <c r="AM2059" s="39"/>
    </row>
    <row r="2060" spans="7:39" s="4" customFormat="1" x14ac:dyDescent="0.3">
      <c r="G2060" s="6"/>
      <c r="AM2060" s="39"/>
    </row>
    <row r="2061" spans="7:39" s="4" customFormat="1" x14ac:dyDescent="0.3">
      <c r="G2061" s="6"/>
      <c r="AM2061" s="39"/>
    </row>
    <row r="2062" spans="7:39" s="4" customFormat="1" x14ac:dyDescent="0.3">
      <c r="G2062" s="6"/>
      <c r="AM2062" s="39"/>
    </row>
    <row r="2063" spans="7:39" s="4" customFormat="1" x14ac:dyDescent="0.3">
      <c r="G2063" s="6"/>
      <c r="AM2063" s="39"/>
    </row>
    <row r="2064" spans="7:39" s="4" customFormat="1" x14ac:dyDescent="0.3">
      <c r="G2064" s="6"/>
      <c r="AM2064" s="39"/>
    </row>
    <row r="2065" spans="7:39" s="4" customFormat="1" x14ac:dyDescent="0.3">
      <c r="G2065" s="6"/>
      <c r="AM2065" s="39"/>
    </row>
    <row r="2066" spans="7:39" s="4" customFormat="1" x14ac:dyDescent="0.3">
      <c r="G2066" s="6"/>
      <c r="AM2066" s="39"/>
    </row>
    <row r="2067" spans="7:39" s="4" customFormat="1" x14ac:dyDescent="0.3">
      <c r="G2067" s="6"/>
      <c r="AM2067" s="39"/>
    </row>
    <row r="2068" spans="7:39" s="4" customFormat="1" x14ac:dyDescent="0.3">
      <c r="G2068" s="6"/>
      <c r="AM2068" s="39"/>
    </row>
    <row r="2069" spans="7:39" s="4" customFormat="1" x14ac:dyDescent="0.3">
      <c r="G2069" s="6"/>
      <c r="AM2069" s="39"/>
    </row>
    <row r="2070" spans="7:39" s="4" customFormat="1" x14ac:dyDescent="0.3">
      <c r="G2070" s="6"/>
      <c r="AM2070" s="39"/>
    </row>
    <row r="2071" spans="7:39" s="4" customFormat="1" x14ac:dyDescent="0.3">
      <c r="G2071" s="6"/>
      <c r="AM2071" s="39"/>
    </row>
    <row r="2072" spans="7:39" s="4" customFormat="1" x14ac:dyDescent="0.3">
      <c r="G2072" s="6"/>
      <c r="AM2072" s="39"/>
    </row>
    <row r="2073" spans="7:39" s="4" customFormat="1" x14ac:dyDescent="0.3">
      <c r="G2073" s="6"/>
      <c r="AM2073" s="39"/>
    </row>
    <row r="2074" spans="7:39" s="4" customFormat="1" x14ac:dyDescent="0.3">
      <c r="G2074" s="6"/>
      <c r="AM2074" s="39"/>
    </row>
    <row r="2075" spans="7:39" s="4" customFormat="1" x14ac:dyDescent="0.3">
      <c r="G2075" s="6"/>
      <c r="AM2075" s="39"/>
    </row>
    <row r="2076" spans="7:39" s="4" customFormat="1" x14ac:dyDescent="0.3">
      <c r="G2076" s="6"/>
      <c r="AM2076" s="39"/>
    </row>
    <row r="2077" spans="7:39" s="4" customFormat="1" x14ac:dyDescent="0.3">
      <c r="G2077" s="6"/>
      <c r="AM2077" s="39"/>
    </row>
    <row r="2078" spans="7:39" s="4" customFormat="1" x14ac:dyDescent="0.3">
      <c r="G2078" s="6"/>
      <c r="AM2078" s="39"/>
    </row>
    <row r="2079" spans="7:39" s="4" customFormat="1" x14ac:dyDescent="0.3">
      <c r="G2079" s="6"/>
      <c r="AM2079" s="39"/>
    </row>
    <row r="2080" spans="7:39" s="4" customFormat="1" x14ac:dyDescent="0.3">
      <c r="G2080" s="6"/>
      <c r="AM2080" s="39"/>
    </row>
    <row r="2081" spans="7:39" s="4" customFormat="1" x14ac:dyDescent="0.3">
      <c r="G2081" s="6"/>
      <c r="AM2081" s="39"/>
    </row>
    <row r="2082" spans="7:39" s="4" customFormat="1" x14ac:dyDescent="0.3">
      <c r="G2082" s="6"/>
      <c r="AM2082" s="39"/>
    </row>
    <row r="2083" spans="7:39" s="4" customFormat="1" x14ac:dyDescent="0.3">
      <c r="G2083" s="6"/>
      <c r="AM2083" s="39"/>
    </row>
    <row r="2084" spans="7:39" s="4" customFormat="1" x14ac:dyDescent="0.3">
      <c r="G2084" s="6"/>
      <c r="AM2084" s="39"/>
    </row>
    <row r="2085" spans="7:39" s="4" customFormat="1" x14ac:dyDescent="0.3">
      <c r="G2085" s="6"/>
      <c r="AM2085" s="39"/>
    </row>
    <row r="2086" spans="7:39" s="4" customFormat="1" x14ac:dyDescent="0.3">
      <c r="G2086" s="6"/>
      <c r="AM2086" s="39"/>
    </row>
    <row r="2087" spans="7:39" s="4" customFormat="1" x14ac:dyDescent="0.3">
      <c r="G2087" s="6"/>
      <c r="AM2087" s="39"/>
    </row>
    <row r="2088" spans="7:39" s="4" customFormat="1" x14ac:dyDescent="0.3">
      <c r="G2088" s="6"/>
      <c r="AM2088" s="39"/>
    </row>
    <row r="2089" spans="7:39" s="4" customFormat="1" x14ac:dyDescent="0.3">
      <c r="G2089" s="6"/>
      <c r="AM2089" s="39"/>
    </row>
    <row r="2090" spans="7:39" s="4" customFormat="1" x14ac:dyDescent="0.3">
      <c r="G2090" s="6"/>
      <c r="AM2090" s="39"/>
    </row>
    <row r="2091" spans="7:39" s="4" customFormat="1" x14ac:dyDescent="0.3">
      <c r="G2091" s="6"/>
      <c r="AM2091" s="39"/>
    </row>
    <row r="2092" spans="7:39" s="4" customFormat="1" x14ac:dyDescent="0.3">
      <c r="G2092" s="6"/>
      <c r="AM2092" s="39"/>
    </row>
    <row r="2093" spans="7:39" s="4" customFormat="1" x14ac:dyDescent="0.3">
      <c r="G2093" s="6"/>
      <c r="AM2093" s="39"/>
    </row>
    <row r="2094" spans="7:39" s="4" customFormat="1" x14ac:dyDescent="0.3">
      <c r="G2094" s="6"/>
      <c r="AM2094" s="39"/>
    </row>
    <row r="2095" spans="7:39" s="4" customFormat="1" x14ac:dyDescent="0.3">
      <c r="G2095" s="6"/>
      <c r="AM2095" s="39"/>
    </row>
    <row r="2096" spans="7:39" s="4" customFormat="1" x14ac:dyDescent="0.3">
      <c r="G2096" s="6"/>
      <c r="AM2096" s="39"/>
    </row>
    <row r="2097" spans="7:39" s="4" customFormat="1" x14ac:dyDescent="0.3">
      <c r="G2097" s="6"/>
      <c r="AM2097" s="39"/>
    </row>
    <row r="2098" spans="7:39" s="4" customFormat="1" x14ac:dyDescent="0.3">
      <c r="G2098" s="6"/>
      <c r="AM2098" s="39"/>
    </row>
    <row r="2099" spans="7:39" s="4" customFormat="1" x14ac:dyDescent="0.3">
      <c r="G2099" s="6"/>
      <c r="AM2099" s="39"/>
    </row>
    <row r="2100" spans="7:39" s="4" customFormat="1" x14ac:dyDescent="0.3">
      <c r="G2100" s="6"/>
      <c r="AM2100" s="39"/>
    </row>
    <row r="2101" spans="7:39" s="4" customFormat="1" x14ac:dyDescent="0.3">
      <c r="G2101" s="6"/>
      <c r="AM2101" s="39"/>
    </row>
    <row r="2102" spans="7:39" s="4" customFormat="1" x14ac:dyDescent="0.3">
      <c r="G2102" s="6"/>
      <c r="AM2102" s="39"/>
    </row>
    <row r="2103" spans="7:39" s="4" customFormat="1" x14ac:dyDescent="0.3">
      <c r="G2103" s="6"/>
      <c r="AM2103" s="39"/>
    </row>
    <row r="2104" spans="7:39" s="4" customFormat="1" x14ac:dyDescent="0.3">
      <c r="G2104" s="6"/>
      <c r="AM2104" s="39"/>
    </row>
    <row r="2105" spans="7:39" s="4" customFormat="1" x14ac:dyDescent="0.3">
      <c r="G2105" s="6"/>
      <c r="AM2105" s="39"/>
    </row>
    <row r="2106" spans="7:39" s="4" customFormat="1" x14ac:dyDescent="0.3">
      <c r="G2106" s="6"/>
      <c r="AM2106" s="39"/>
    </row>
    <row r="2107" spans="7:39" s="4" customFormat="1" x14ac:dyDescent="0.3">
      <c r="G2107" s="6"/>
      <c r="AM2107" s="39"/>
    </row>
    <row r="2108" spans="7:39" s="4" customFormat="1" x14ac:dyDescent="0.3">
      <c r="G2108" s="6"/>
      <c r="AM2108" s="39"/>
    </row>
    <row r="2109" spans="7:39" s="4" customFormat="1" x14ac:dyDescent="0.3">
      <c r="G2109" s="6"/>
      <c r="AM2109" s="39"/>
    </row>
    <row r="2110" spans="7:39" s="4" customFormat="1" x14ac:dyDescent="0.3">
      <c r="G2110" s="6"/>
      <c r="AM2110" s="39"/>
    </row>
    <row r="2111" spans="7:39" s="4" customFormat="1" x14ac:dyDescent="0.3">
      <c r="G2111" s="6"/>
      <c r="AM2111" s="39"/>
    </row>
    <row r="2112" spans="7:39" s="4" customFormat="1" x14ac:dyDescent="0.3">
      <c r="G2112" s="6"/>
      <c r="AM2112" s="39"/>
    </row>
    <row r="2113" spans="7:39" s="4" customFormat="1" x14ac:dyDescent="0.3">
      <c r="G2113" s="6"/>
      <c r="AM2113" s="39"/>
    </row>
    <row r="2114" spans="7:39" s="4" customFormat="1" x14ac:dyDescent="0.3">
      <c r="G2114" s="6"/>
      <c r="AM2114" s="39"/>
    </row>
    <row r="2115" spans="7:39" s="4" customFormat="1" x14ac:dyDescent="0.3">
      <c r="G2115" s="6"/>
      <c r="AM2115" s="39"/>
    </row>
    <row r="2116" spans="7:39" s="4" customFormat="1" x14ac:dyDescent="0.3">
      <c r="G2116" s="6"/>
      <c r="AM2116" s="39"/>
    </row>
    <row r="2117" spans="7:39" s="4" customFormat="1" x14ac:dyDescent="0.3">
      <c r="G2117" s="6"/>
      <c r="AM2117" s="39"/>
    </row>
    <row r="2118" spans="7:39" s="4" customFormat="1" x14ac:dyDescent="0.3">
      <c r="G2118" s="6"/>
      <c r="AM2118" s="39"/>
    </row>
    <row r="2119" spans="7:39" s="4" customFormat="1" x14ac:dyDescent="0.3">
      <c r="G2119" s="6"/>
      <c r="AM2119" s="39"/>
    </row>
    <row r="2120" spans="7:39" s="4" customFormat="1" x14ac:dyDescent="0.3">
      <c r="G2120" s="6"/>
      <c r="AM2120" s="39"/>
    </row>
    <row r="2121" spans="7:39" s="4" customFormat="1" x14ac:dyDescent="0.3">
      <c r="G2121" s="6"/>
      <c r="AM2121" s="39"/>
    </row>
    <row r="2122" spans="7:39" s="4" customFormat="1" x14ac:dyDescent="0.3">
      <c r="G2122" s="6"/>
      <c r="AM2122" s="39"/>
    </row>
    <row r="2123" spans="7:39" s="4" customFormat="1" x14ac:dyDescent="0.3">
      <c r="G2123" s="6"/>
      <c r="AM2123" s="39"/>
    </row>
    <row r="2124" spans="7:39" s="4" customFormat="1" x14ac:dyDescent="0.3">
      <c r="G2124" s="6"/>
      <c r="AM2124" s="39"/>
    </row>
    <row r="2125" spans="7:39" s="4" customFormat="1" x14ac:dyDescent="0.3">
      <c r="G2125" s="6"/>
      <c r="AM2125" s="39"/>
    </row>
    <row r="2126" spans="7:39" s="4" customFormat="1" x14ac:dyDescent="0.3">
      <c r="G2126" s="6"/>
      <c r="AM2126" s="39"/>
    </row>
    <row r="2127" spans="7:39" s="4" customFormat="1" x14ac:dyDescent="0.3">
      <c r="G2127" s="6"/>
      <c r="AM2127" s="39"/>
    </row>
    <row r="2128" spans="7:39" s="4" customFormat="1" x14ac:dyDescent="0.3">
      <c r="G2128" s="6"/>
      <c r="AM2128" s="39"/>
    </row>
    <row r="2129" spans="7:39" s="4" customFormat="1" x14ac:dyDescent="0.3">
      <c r="G2129" s="6"/>
      <c r="AM2129" s="39"/>
    </row>
    <row r="2130" spans="7:39" s="4" customFormat="1" x14ac:dyDescent="0.3">
      <c r="G2130" s="6"/>
      <c r="AM2130" s="39"/>
    </row>
    <row r="2131" spans="7:39" s="4" customFormat="1" x14ac:dyDescent="0.3">
      <c r="G2131" s="6"/>
      <c r="AM2131" s="39"/>
    </row>
    <row r="2132" spans="7:39" s="4" customFormat="1" x14ac:dyDescent="0.3">
      <c r="G2132" s="6"/>
      <c r="AM2132" s="39"/>
    </row>
    <row r="2133" spans="7:39" s="4" customFormat="1" x14ac:dyDescent="0.3">
      <c r="G2133" s="6"/>
      <c r="AM2133" s="39"/>
    </row>
    <row r="2134" spans="7:39" s="4" customFormat="1" x14ac:dyDescent="0.3">
      <c r="G2134" s="6"/>
      <c r="AM2134" s="39"/>
    </row>
    <row r="2135" spans="7:39" s="4" customFormat="1" x14ac:dyDescent="0.3">
      <c r="G2135" s="6"/>
      <c r="AM2135" s="39"/>
    </row>
    <row r="2136" spans="7:39" s="4" customFormat="1" x14ac:dyDescent="0.3">
      <c r="G2136" s="6"/>
      <c r="AM2136" s="39"/>
    </row>
    <row r="2137" spans="7:39" s="4" customFormat="1" x14ac:dyDescent="0.3">
      <c r="G2137" s="6"/>
      <c r="AM2137" s="39"/>
    </row>
    <row r="2138" spans="7:39" s="4" customFormat="1" x14ac:dyDescent="0.3">
      <c r="G2138" s="6"/>
      <c r="AM2138" s="39"/>
    </row>
    <row r="2139" spans="7:39" s="4" customFormat="1" x14ac:dyDescent="0.3">
      <c r="G2139" s="6"/>
      <c r="AM2139" s="39"/>
    </row>
    <row r="2140" spans="7:39" s="4" customFormat="1" x14ac:dyDescent="0.3">
      <c r="G2140" s="6"/>
      <c r="AM2140" s="39"/>
    </row>
    <row r="2141" spans="7:39" s="4" customFormat="1" x14ac:dyDescent="0.3">
      <c r="G2141" s="6"/>
      <c r="AM2141" s="39"/>
    </row>
    <row r="2142" spans="7:39" s="4" customFormat="1" x14ac:dyDescent="0.3">
      <c r="G2142" s="6"/>
      <c r="AM2142" s="39"/>
    </row>
    <row r="2143" spans="7:39" s="4" customFormat="1" x14ac:dyDescent="0.3">
      <c r="G2143" s="6"/>
      <c r="AM2143" s="39"/>
    </row>
    <row r="2144" spans="7:39" s="4" customFormat="1" x14ac:dyDescent="0.3">
      <c r="G2144" s="6"/>
      <c r="AM2144" s="39"/>
    </row>
    <row r="2145" spans="7:39" s="4" customFormat="1" x14ac:dyDescent="0.3">
      <c r="G2145" s="6"/>
      <c r="AM2145" s="39"/>
    </row>
    <row r="2146" spans="7:39" s="4" customFormat="1" x14ac:dyDescent="0.3">
      <c r="G2146" s="6"/>
      <c r="AM2146" s="39"/>
    </row>
    <row r="2147" spans="7:39" s="4" customFormat="1" x14ac:dyDescent="0.3">
      <c r="G2147" s="6"/>
      <c r="AM2147" s="39"/>
    </row>
    <row r="2148" spans="7:39" s="4" customFormat="1" x14ac:dyDescent="0.3">
      <c r="G2148" s="6"/>
      <c r="AM2148" s="39"/>
    </row>
    <row r="2149" spans="7:39" s="4" customFormat="1" x14ac:dyDescent="0.3">
      <c r="G2149" s="6"/>
      <c r="AM2149" s="39"/>
    </row>
    <row r="2150" spans="7:39" s="4" customFormat="1" x14ac:dyDescent="0.3">
      <c r="G2150" s="6"/>
      <c r="AM2150" s="39"/>
    </row>
    <row r="2151" spans="7:39" s="4" customFormat="1" x14ac:dyDescent="0.3">
      <c r="G2151" s="6"/>
      <c r="AM2151" s="39"/>
    </row>
    <row r="2152" spans="7:39" s="4" customFormat="1" x14ac:dyDescent="0.3">
      <c r="G2152" s="6"/>
      <c r="AM2152" s="39"/>
    </row>
    <row r="2153" spans="7:39" s="4" customFormat="1" x14ac:dyDescent="0.3">
      <c r="G2153" s="6"/>
      <c r="AM2153" s="39"/>
    </row>
    <row r="2154" spans="7:39" s="4" customFormat="1" x14ac:dyDescent="0.3">
      <c r="G2154" s="6"/>
      <c r="AM2154" s="39"/>
    </row>
    <row r="2155" spans="7:39" s="4" customFormat="1" x14ac:dyDescent="0.3">
      <c r="G2155" s="6"/>
      <c r="AM2155" s="39"/>
    </row>
    <row r="2156" spans="7:39" s="4" customFormat="1" x14ac:dyDescent="0.3">
      <c r="G2156" s="6"/>
      <c r="AM2156" s="39"/>
    </row>
    <row r="2157" spans="7:39" s="4" customFormat="1" x14ac:dyDescent="0.3">
      <c r="G2157" s="6"/>
      <c r="AM2157" s="39"/>
    </row>
    <row r="2158" spans="7:39" s="4" customFormat="1" x14ac:dyDescent="0.3">
      <c r="G2158" s="6"/>
      <c r="AM2158" s="39"/>
    </row>
    <row r="2159" spans="7:39" s="4" customFormat="1" x14ac:dyDescent="0.3">
      <c r="G2159" s="6"/>
      <c r="AM2159" s="39"/>
    </row>
    <row r="2160" spans="7:39" s="4" customFormat="1" x14ac:dyDescent="0.3">
      <c r="G2160" s="6"/>
      <c r="AM2160" s="39"/>
    </row>
    <row r="2161" spans="7:39" s="4" customFormat="1" x14ac:dyDescent="0.3">
      <c r="G2161" s="6"/>
      <c r="AM2161" s="39"/>
    </row>
    <row r="2162" spans="7:39" s="4" customFormat="1" x14ac:dyDescent="0.3">
      <c r="G2162" s="6"/>
      <c r="AM2162" s="39"/>
    </row>
    <row r="2163" spans="7:39" s="4" customFormat="1" x14ac:dyDescent="0.3">
      <c r="G2163" s="6"/>
      <c r="AM2163" s="39"/>
    </row>
    <row r="2164" spans="7:39" s="4" customFormat="1" x14ac:dyDescent="0.3">
      <c r="G2164" s="6"/>
      <c r="AM2164" s="39"/>
    </row>
    <row r="2165" spans="7:39" s="4" customFormat="1" x14ac:dyDescent="0.3">
      <c r="G2165" s="6"/>
      <c r="AM2165" s="39"/>
    </row>
    <row r="2166" spans="7:39" s="4" customFormat="1" x14ac:dyDescent="0.3">
      <c r="G2166" s="6"/>
      <c r="AM2166" s="39"/>
    </row>
    <row r="2167" spans="7:39" s="4" customFormat="1" x14ac:dyDescent="0.3">
      <c r="G2167" s="6"/>
      <c r="AM2167" s="39"/>
    </row>
    <row r="2168" spans="7:39" s="4" customFormat="1" x14ac:dyDescent="0.3">
      <c r="G2168" s="6"/>
      <c r="AM2168" s="39"/>
    </row>
    <row r="2169" spans="7:39" s="4" customFormat="1" x14ac:dyDescent="0.3">
      <c r="G2169" s="6"/>
      <c r="AM2169" s="39"/>
    </row>
    <row r="2170" spans="7:39" s="4" customFormat="1" x14ac:dyDescent="0.3">
      <c r="G2170" s="6"/>
      <c r="AM2170" s="39"/>
    </row>
    <row r="2171" spans="7:39" s="4" customFormat="1" x14ac:dyDescent="0.3">
      <c r="G2171" s="6"/>
      <c r="AM2171" s="39"/>
    </row>
    <row r="2172" spans="7:39" s="4" customFormat="1" x14ac:dyDescent="0.3">
      <c r="G2172" s="6"/>
      <c r="AM2172" s="39"/>
    </row>
    <row r="2173" spans="7:39" s="4" customFormat="1" x14ac:dyDescent="0.3">
      <c r="G2173" s="6"/>
      <c r="AM2173" s="39"/>
    </row>
    <row r="2174" spans="7:39" s="4" customFormat="1" x14ac:dyDescent="0.3">
      <c r="G2174" s="6"/>
      <c r="AM2174" s="39"/>
    </row>
    <row r="2175" spans="7:39" s="4" customFormat="1" x14ac:dyDescent="0.3">
      <c r="G2175" s="6"/>
      <c r="AM2175" s="39"/>
    </row>
    <row r="2176" spans="7:39" s="4" customFormat="1" x14ac:dyDescent="0.3">
      <c r="G2176" s="6"/>
      <c r="AM2176" s="39"/>
    </row>
    <row r="2177" spans="7:39" s="4" customFormat="1" x14ac:dyDescent="0.3">
      <c r="G2177" s="6"/>
      <c r="AM2177" s="39"/>
    </row>
    <row r="2178" spans="7:39" s="4" customFormat="1" x14ac:dyDescent="0.3">
      <c r="G2178" s="6"/>
      <c r="AM2178" s="39"/>
    </row>
    <row r="2179" spans="7:39" s="4" customFormat="1" x14ac:dyDescent="0.3">
      <c r="G2179" s="6"/>
      <c r="AM2179" s="39"/>
    </row>
    <row r="2180" spans="7:39" s="4" customFormat="1" x14ac:dyDescent="0.3">
      <c r="G2180" s="6"/>
      <c r="AM2180" s="39"/>
    </row>
    <row r="2181" spans="7:39" s="4" customFormat="1" x14ac:dyDescent="0.3">
      <c r="G2181" s="6"/>
      <c r="AM2181" s="39"/>
    </row>
    <row r="2182" spans="7:39" s="4" customFormat="1" x14ac:dyDescent="0.3">
      <c r="G2182" s="6"/>
      <c r="AM2182" s="39"/>
    </row>
    <row r="2183" spans="7:39" s="4" customFormat="1" x14ac:dyDescent="0.3">
      <c r="G2183" s="6"/>
      <c r="AM2183" s="39"/>
    </row>
    <row r="2184" spans="7:39" s="4" customFormat="1" x14ac:dyDescent="0.3">
      <c r="G2184" s="6"/>
      <c r="AM2184" s="39"/>
    </row>
    <row r="2185" spans="7:39" s="4" customFormat="1" x14ac:dyDescent="0.3">
      <c r="G2185" s="6"/>
      <c r="AM2185" s="39"/>
    </row>
    <row r="2186" spans="7:39" s="4" customFormat="1" x14ac:dyDescent="0.3">
      <c r="G2186" s="6"/>
      <c r="AM2186" s="39"/>
    </row>
    <row r="2187" spans="7:39" s="4" customFormat="1" x14ac:dyDescent="0.3">
      <c r="G2187" s="6"/>
      <c r="AM2187" s="39"/>
    </row>
    <row r="2188" spans="7:39" s="4" customFormat="1" x14ac:dyDescent="0.3">
      <c r="G2188" s="6"/>
      <c r="AM2188" s="39"/>
    </row>
    <row r="2189" spans="7:39" s="4" customFormat="1" x14ac:dyDescent="0.3">
      <c r="G2189" s="6"/>
      <c r="AM2189" s="39"/>
    </row>
    <row r="2190" spans="7:39" s="4" customFormat="1" x14ac:dyDescent="0.3">
      <c r="G2190" s="6"/>
      <c r="AM2190" s="39"/>
    </row>
    <row r="2191" spans="7:39" s="4" customFormat="1" x14ac:dyDescent="0.3">
      <c r="G2191" s="6"/>
      <c r="AM2191" s="39"/>
    </row>
    <row r="2192" spans="7:39" s="4" customFormat="1" x14ac:dyDescent="0.3">
      <c r="G2192" s="6"/>
      <c r="AM2192" s="39"/>
    </row>
    <row r="2193" spans="7:39" s="4" customFormat="1" x14ac:dyDescent="0.3">
      <c r="G2193" s="6"/>
      <c r="AM2193" s="39"/>
    </row>
    <row r="2194" spans="7:39" s="4" customFormat="1" x14ac:dyDescent="0.3">
      <c r="G2194" s="6"/>
      <c r="AM2194" s="39"/>
    </row>
    <row r="2195" spans="7:39" s="4" customFormat="1" x14ac:dyDescent="0.3">
      <c r="G2195" s="6"/>
      <c r="AM2195" s="39"/>
    </row>
    <row r="2196" spans="7:39" s="4" customFormat="1" x14ac:dyDescent="0.3">
      <c r="G2196" s="6"/>
      <c r="AM2196" s="39"/>
    </row>
    <row r="2197" spans="7:39" s="4" customFormat="1" x14ac:dyDescent="0.3">
      <c r="G2197" s="6"/>
      <c r="AM2197" s="39"/>
    </row>
    <row r="2198" spans="7:39" s="4" customFormat="1" x14ac:dyDescent="0.3">
      <c r="G2198" s="6"/>
      <c r="AM2198" s="39"/>
    </row>
    <row r="2199" spans="7:39" s="4" customFormat="1" x14ac:dyDescent="0.3">
      <c r="G2199" s="6"/>
      <c r="AM2199" s="39"/>
    </row>
    <row r="2200" spans="7:39" s="4" customFormat="1" x14ac:dyDescent="0.3">
      <c r="G2200" s="6"/>
      <c r="AM2200" s="39"/>
    </row>
    <row r="2201" spans="7:39" s="4" customFormat="1" x14ac:dyDescent="0.3">
      <c r="G2201" s="6"/>
      <c r="AM2201" s="39"/>
    </row>
    <row r="2202" spans="7:39" s="4" customFormat="1" x14ac:dyDescent="0.3">
      <c r="G2202" s="6"/>
      <c r="AM2202" s="39"/>
    </row>
    <row r="2203" spans="7:39" s="4" customFormat="1" x14ac:dyDescent="0.3">
      <c r="G2203" s="6"/>
      <c r="AM2203" s="39"/>
    </row>
    <row r="2204" spans="7:39" s="4" customFormat="1" x14ac:dyDescent="0.3">
      <c r="G2204" s="6"/>
      <c r="AM2204" s="39"/>
    </row>
    <row r="2205" spans="7:39" s="4" customFormat="1" x14ac:dyDescent="0.3">
      <c r="G2205" s="6"/>
      <c r="AM2205" s="39"/>
    </row>
    <row r="2206" spans="7:39" s="4" customFormat="1" x14ac:dyDescent="0.3">
      <c r="G2206" s="6"/>
      <c r="AM2206" s="39"/>
    </row>
    <row r="2207" spans="7:39" s="4" customFormat="1" x14ac:dyDescent="0.3">
      <c r="G2207" s="6"/>
      <c r="AM2207" s="39"/>
    </row>
    <row r="2208" spans="7:39" s="4" customFormat="1" x14ac:dyDescent="0.3">
      <c r="G2208" s="6"/>
      <c r="AM2208" s="39"/>
    </row>
    <row r="2209" spans="7:39" s="4" customFormat="1" x14ac:dyDescent="0.3">
      <c r="G2209" s="6"/>
      <c r="AM2209" s="39"/>
    </row>
    <row r="2210" spans="7:39" s="4" customFormat="1" x14ac:dyDescent="0.3">
      <c r="G2210" s="6"/>
      <c r="AM2210" s="39"/>
    </row>
    <row r="2211" spans="7:39" s="4" customFormat="1" x14ac:dyDescent="0.3">
      <c r="G2211" s="6"/>
      <c r="AM2211" s="39"/>
    </row>
    <row r="2212" spans="7:39" s="4" customFormat="1" x14ac:dyDescent="0.3">
      <c r="G2212" s="6"/>
      <c r="AM2212" s="39"/>
    </row>
    <row r="2213" spans="7:39" s="4" customFormat="1" x14ac:dyDescent="0.3">
      <c r="G2213" s="6"/>
      <c r="AM2213" s="39"/>
    </row>
    <row r="2214" spans="7:39" s="4" customFormat="1" x14ac:dyDescent="0.3">
      <c r="G2214" s="6"/>
      <c r="AM2214" s="39"/>
    </row>
    <row r="2215" spans="7:39" s="4" customFormat="1" x14ac:dyDescent="0.3">
      <c r="G2215" s="6"/>
      <c r="AM2215" s="39"/>
    </row>
    <row r="2216" spans="7:39" s="4" customFormat="1" x14ac:dyDescent="0.3">
      <c r="G2216" s="6"/>
      <c r="AM2216" s="39"/>
    </row>
    <row r="2217" spans="7:39" s="4" customFormat="1" x14ac:dyDescent="0.3">
      <c r="G2217" s="6"/>
      <c r="AM2217" s="39"/>
    </row>
    <row r="2218" spans="7:39" s="4" customFormat="1" x14ac:dyDescent="0.3">
      <c r="G2218" s="6"/>
      <c r="AM2218" s="39"/>
    </row>
    <row r="2219" spans="7:39" s="4" customFormat="1" x14ac:dyDescent="0.3">
      <c r="G2219" s="6"/>
      <c r="AM2219" s="39"/>
    </row>
    <row r="2220" spans="7:39" s="4" customFormat="1" x14ac:dyDescent="0.3">
      <c r="G2220" s="6"/>
      <c r="AM2220" s="39"/>
    </row>
    <row r="2221" spans="7:39" s="4" customFormat="1" x14ac:dyDescent="0.3">
      <c r="G2221" s="6"/>
      <c r="AM2221" s="39"/>
    </row>
    <row r="2222" spans="7:39" s="4" customFormat="1" x14ac:dyDescent="0.3">
      <c r="G2222" s="6"/>
      <c r="AM2222" s="39"/>
    </row>
    <row r="2223" spans="7:39" s="4" customFormat="1" x14ac:dyDescent="0.3">
      <c r="G2223" s="6"/>
      <c r="AM2223" s="39"/>
    </row>
    <row r="2224" spans="7:39" s="4" customFormat="1" x14ac:dyDescent="0.3">
      <c r="G2224" s="6"/>
      <c r="AM2224" s="39"/>
    </row>
    <row r="2225" spans="7:39" s="4" customFormat="1" x14ac:dyDescent="0.3">
      <c r="G2225" s="6"/>
      <c r="AM2225" s="39"/>
    </row>
    <row r="2226" spans="7:39" s="4" customFormat="1" x14ac:dyDescent="0.3">
      <c r="G2226" s="6"/>
      <c r="AM2226" s="39"/>
    </row>
    <row r="2227" spans="7:39" s="4" customFormat="1" x14ac:dyDescent="0.3">
      <c r="G2227" s="6"/>
      <c r="AM2227" s="39"/>
    </row>
    <row r="2228" spans="7:39" s="4" customFormat="1" x14ac:dyDescent="0.3">
      <c r="G2228" s="6"/>
      <c r="AM2228" s="39"/>
    </row>
    <row r="2229" spans="7:39" s="4" customFormat="1" x14ac:dyDescent="0.3">
      <c r="G2229" s="6"/>
      <c r="AM2229" s="39"/>
    </row>
    <row r="2230" spans="7:39" s="4" customFormat="1" x14ac:dyDescent="0.3">
      <c r="G2230" s="6"/>
      <c r="AM2230" s="39"/>
    </row>
    <row r="2231" spans="7:39" s="4" customFormat="1" x14ac:dyDescent="0.3">
      <c r="G2231" s="6"/>
      <c r="AM2231" s="39"/>
    </row>
    <row r="2232" spans="7:39" s="4" customFormat="1" x14ac:dyDescent="0.3">
      <c r="G2232" s="6"/>
      <c r="AM2232" s="39"/>
    </row>
    <row r="2233" spans="7:39" s="4" customFormat="1" x14ac:dyDescent="0.3">
      <c r="G2233" s="6"/>
      <c r="AM2233" s="39"/>
    </row>
    <row r="2234" spans="7:39" s="4" customFormat="1" x14ac:dyDescent="0.3">
      <c r="G2234" s="6"/>
      <c r="AM2234" s="39"/>
    </row>
    <row r="2235" spans="7:39" s="4" customFormat="1" x14ac:dyDescent="0.3">
      <c r="G2235" s="6"/>
      <c r="AM2235" s="39"/>
    </row>
    <row r="2236" spans="7:39" s="4" customFormat="1" x14ac:dyDescent="0.3">
      <c r="G2236" s="6"/>
      <c r="AM2236" s="39"/>
    </row>
    <row r="2237" spans="7:39" s="4" customFormat="1" x14ac:dyDescent="0.3">
      <c r="G2237" s="6"/>
      <c r="AM2237" s="39"/>
    </row>
    <row r="2238" spans="7:39" s="4" customFormat="1" x14ac:dyDescent="0.3">
      <c r="G2238" s="6"/>
      <c r="AM2238" s="39"/>
    </row>
    <row r="2239" spans="7:39" s="4" customFormat="1" x14ac:dyDescent="0.3">
      <c r="G2239" s="6"/>
      <c r="AM2239" s="39"/>
    </row>
    <row r="2240" spans="7:39" s="4" customFormat="1" x14ac:dyDescent="0.3">
      <c r="G2240" s="6"/>
      <c r="AM2240" s="39"/>
    </row>
    <row r="2241" spans="7:39" s="4" customFormat="1" x14ac:dyDescent="0.3">
      <c r="G2241" s="6"/>
      <c r="AM2241" s="39"/>
    </row>
    <row r="2242" spans="7:39" s="4" customFormat="1" x14ac:dyDescent="0.3">
      <c r="G2242" s="6"/>
      <c r="AM2242" s="39"/>
    </row>
    <row r="2243" spans="7:39" s="4" customFormat="1" x14ac:dyDescent="0.3">
      <c r="G2243" s="6"/>
      <c r="AM2243" s="39"/>
    </row>
    <row r="2244" spans="7:39" s="4" customFormat="1" x14ac:dyDescent="0.3">
      <c r="G2244" s="6"/>
      <c r="AM2244" s="39"/>
    </row>
    <row r="2245" spans="7:39" s="4" customFormat="1" x14ac:dyDescent="0.3">
      <c r="G2245" s="6"/>
      <c r="AM2245" s="39"/>
    </row>
    <row r="2246" spans="7:39" s="4" customFormat="1" x14ac:dyDescent="0.3">
      <c r="G2246" s="6"/>
      <c r="AM2246" s="39"/>
    </row>
    <row r="2247" spans="7:39" s="4" customFormat="1" x14ac:dyDescent="0.3">
      <c r="G2247" s="6"/>
      <c r="AM2247" s="39"/>
    </row>
    <row r="2248" spans="7:39" s="4" customFormat="1" x14ac:dyDescent="0.3">
      <c r="G2248" s="6"/>
      <c r="AM2248" s="39"/>
    </row>
    <row r="2249" spans="7:39" s="4" customFormat="1" x14ac:dyDescent="0.3">
      <c r="G2249" s="6"/>
      <c r="AM2249" s="39"/>
    </row>
    <row r="2250" spans="7:39" s="4" customFormat="1" x14ac:dyDescent="0.3">
      <c r="G2250" s="6"/>
      <c r="AM2250" s="39"/>
    </row>
    <row r="2251" spans="7:39" s="4" customFormat="1" x14ac:dyDescent="0.3">
      <c r="G2251" s="6"/>
      <c r="AM2251" s="39"/>
    </row>
    <row r="2252" spans="7:39" s="4" customFormat="1" x14ac:dyDescent="0.3">
      <c r="G2252" s="6"/>
      <c r="AM2252" s="39"/>
    </row>
    <row r="2253" spans="7:39" s="4" customFormat="1" x14ac:dyDescent="0.3">
      <c r="G2253" s="6"/>
      <c r="AM2253" s="39"/>
    </row>
    <row r="2254" spans="7:39" s="4" customFormat="1" x14ac:dyDescent="0.3">
      <c r="G2254" s="6"/>
      <c r="AM2254" s="39"/>
    </row>
    <row r="2255" spans="7:39" s="4" customFormat="1" x14ac:dyDescent="0.3">
      <c r="G2255" s="6"/>
      <c r="AM2255" s="39"/>
    </row>
    <row r="2256" spans="7:39" s="4" customFormat="1" x14ac:dyDescent="0.3">
      <c r="G2256" s="6"/>
      <c r="AM2256" s="39"/>
    </row>
    <row r="2257" spans="7:39" s="4" customFormat="1" x14ac:dyDescent="0.3">
      <c r="G2257" s="6"/>
      <c r="AM2257" s="39"/>
    </row>
    <row r="2258" spans="7:39" s="4" customFormat="1" x14ac:dyDescent="0.3">
      <c r="G2258" s="6"/>
      <c r="AM2258" s="39"/>
    </row>
    <row r="2259" spans="7:39" s="4" customFormat="1" x14ac:dyDescent="0.3">
      <c r="G2259" s="6"/>
      <c r="AM2259" s="39"/>
    </row>
    <row r="2260" spans="7:39" s="4" customFormat="1" x14ac:dyDescent="0.3">
      <c r="G2260" s="6"/>
      <c r="AM2260" s="39"/>
    </row>
    <row r="2261" spans="7:39" s="4" customFormat="1" x14ac:dyDescent="0.3">
      <c r="G2261" s="6"/>
      <c r="AM2261" s="39"/>
    </row>
    <row r="2262" spans="7:39" s="4" customFormat="1" x14ac:dyDescent="0.3">
      <c r="G2262" s="6"/>
      <c r="AM2262" s="39"/>
    </row>
    <row r="2263" spans="7:39" s="4" customFormat="1" x14ac:dyDescent="0.3">
      <c r="G2263" s="6"/>
      <c r="AM2263" s="39"/>
    </row>
    <row r="2264" spans="7:39" s="4" customFormat="1" x14ac:dyDescent="0.3">
      <c r="G2264" s="6"/>
      <c r="AM2264" s="39"/>
    </row>
    <row r="2265" spans="7:39" s="4" customFormat="1" x14ac:dyDescent="0.3">
      <c r="G2265" s="6"/>
      <c r="AM2265" s="39"/>
    </row>
    <row r="2266" spans="7:39" s="4" customFormat="1" x14ac:dyDescent="0.3">
      <c r="G2266" s="6"/>
      <c r="AM2266" s="39"/>
    </row>
    <row r="2267" spans="7:39" s="4" customFormat="1" x14ac:dyDescent="0.3">
      <c r="G2267" s="6"/>
      <c r="AM2267" s="39"/>
    </row>
    <row r="2268" spans="7:39" s="4" customFormat="1" x14ac:dyDescent="0.3">
      <c r="G2268" s="6"/>
      <c r="AM2268" s="39"/>
    </row>
    <row r="2269" spans="7:39" s="4" customFormat="1" x14ac:dyDescent="0.3">
      <c r="G2269" s="6"/>
      <c r="AM2269" s="39"/>
    </row>
    <row r="2270" spans="7:39" s="4" customFormat="1" x14ac:dyDescent="0.3">
      <c r="G2270" s="6"/>
      <c r="AM2270" s="39"/>
    </row>
    <row r="2271" spans="7:39" s="4" customFormat="1" x14ac:dyDescent="0.3">
      <c r="G2271" s="6"/>
      <c r="AM2271" s="39"/>
    </row>
    <row r="2272" spans="7:39" s="4" customFormat="1" x14ac:dyDescent="0.3">
      <c r="G2272" s="6"/>
      <c r="AM2272" s="39"/>
    </row>
    <row r="2273" spans="7:39" s="4" customFormat="1" x14ac:dyDescent="0.3">
      <c r="G2273" s="6"/>
      <c r="AM2273" s="39"/>
    </row>
    <row r="2274" spans="7:39" s="4" customFormat="1" x14ac:dyDescent="0.3">
      <c r="G2274" s="6"/>
      <c r="AM2274" s="39"/>
    </row>
    <row r="2275" spans="7:39" s="4" customFormat="1" x14ac:dyDescent="0.3">
      <c r="G2275" s="6"/>
      <c r="AM2275" s="39"/>
    </row>
    <row r="2276" spans="7:39" s="4" customFormat="1" x14ac:dyDescent="0.3">
      <c r="G2276" s="6"/>
      <c r="AM2276" s="39"/>
    </row>
    <row r="2277" spans="7:39" s="4" customFormat="1" x14ac:dyDescent="0.3">
      <c r="G2277" s="6"/>
      <c r="AM2277" s="39"/>
    </row>
    <row r="2278" spans="7:39" s="4" customFormat="1" x14ac:dyDescent="0.3">
      <c r="G2278" s="6"/>
      <c r="AM2278" s="39"/>
    </row>
    <row r="2279" spans="7:39" s="4" customFormat="1" x14ac:dyDescent="0.3">
      <c r="G2279" s="6"/>
      <c r="AM2279" s="39"/>
    </row>
    <row r="2280" spans="7:39" s="4" customFormat="1" x14ac:dyDescent="0.3">
      <c r="G2280" s="6"/>
      <c r="AM2280" s="39"/>
    </row>
    <row r="2281" spans="7:39" s="4" customFormat="1" x14ac:dyDescent="0.3">
      <c r="G2281" s="6"/>
      <c r="AM2281" s="39"/>
    </row>
    <row r="2282" spans="7:39" s="4" customFormat="1" x14ac:dyDescent="0.3">
      <c r="G2282" s="6"/>
      <c r="AM2282" s="39"/>
    </row>
    <row r="2283" spans="7:39" s="4" customFormat="1" x14ac:dyDescent="0.3">
      <c r="G2283" s="6"/>
      <c r="AM2283" s="39"/>
    </row>
    <row r="2284" spans="7:39" s="4" customFormat="1" x14ac:dyDescent="0.3">
      <c r="G2284" s="6"/>
      <c r="AM2284" s="39"/>
    </row>
    <row r="2285" spans="7:39" s="4" customFormat="1" x14ac:dyDescent="0.3">
      <c r="G2285" s="6"/>
      <c r="AM2285" s="39"/>
    </row>
    <row r="2286" spans="7:39" s="4" customFormat="1" x14ac:dyDescent="0.3">
      <c r="G2286" s="6"/>
      <c r="AM2286" s="39"/>
    </row>
    <row r="2287" spans="7:39" s="4" customFormat="1" x14ac:dyDescent="0.3">
      <c r="G2287" s="6"/>
      <c r="AM2287" s="39"/>
    </row>
    <row r="2288" spans="7:39" s="4" customFormat="1" x14ac:dyDescent="0.3">
      <c r="G2288" s="6"/>
      <c r="AM2288" s="39"/>
    </row>
    <row r="2289" spans="7:39" s="4" customFormat="1" x14ac:dyDescent="0.3">
      <c r="G2289" s="6"/>
      <c r="AM2289" s="39"/>
    </row>
    <row r="2290" spans="7:39" s="4" customFormat="1" x14ac:dyDescent="0.3">
      <c r="G2290" s="6"/>
      <c r="AM2290" s="39"/>
    </row>
    <row r="2291" spans="7:39" s="4" customFormat="1" x14ac:dyDescent="0.3">
      <c r="G2291" s="6"/>
      <c r="AM2291" s="39"/>
    </row>
    <row r="2292" spans="7:39" s="4" customFormat="1" x14ac:dyDescent="0.3">
      <c r="G2292" s="6"/>
      <c r="AM2292" s="39"/>
    </row>
    <row r="2293" spans="7:39" s="4" customFormat="1" x14ac:dyDescent="0.3">
      <c r="G2293" s="6"/>
      <c r="AM2293" s="39"/>
    </row>
    <row r="2294" spans="7:39" s="4" customFormat="1" x14ac:dyDescent="0.3">
      <c r="G2294" s="6"/>
      <c r="AM2294" s="39"/>
    </row>
    <row r="2295" spans="7:39" s="4" customFormat="1" x14ac:dyDescent="0.3">
      <c r="G2295" s="6"/>
      <c r="AM2295" s="39"/>
    </row>
    <row r="2296" spans="7:39" s="4" customFormat="1" x14ac:dyDescent="0.3">
      <c r="G2296" s="6"/>
      <c r="AM2296" s="39"/>
    </row>
    <row r="2297" spans="7:39" s="4" customFormat="1" x14ac:dyDescent="0.3">
      <c r="G2297" s="6"/>
      <c r="AM2297" s="39"/>
    </row>
    <row r="2298" spans="7:39" s="4" customFormat="1" x14ac:dyDescent="0.3">
      <c r="G2298" s="6"/>
      <c r="AM2298" s="39"/>
    </row>
    <row r="2299" spans="7:39" s="4" customFormat="1" x14ac:dyDescent="0.3">
      <c r="G2299" s="6"/>
      <c r="AM2299" s="39"/>
    </row>
    <row r="2300" spans="7:39" s="4" customFormat="1" x14ac:dyDescent="0.3">
      <c r="G2300" s="6"/>
      <c r="AM2300" s="39"/>
    </row>
    <row r="2301" spans="7:39" s="4" customFormat="1" x14ac:dyDescent="0.3">
      <c r="G2301" s="6"/>
      <c r="AM2301" s="39"/>
    </row>
    <row r="2302" spans="7:39" s="4" customFormat="1" x14ac:dyDescent="0.3">
      <c r="G2302" s="6"/>
      <c r="AM2302" s="39"/>
    </row>
    <row r="2303" spans="7:39" s="4" customFormat="1" x14ac:dyDescent="0.3">
      <c r="G2303" s="6"/>
      <c r="AM2303" s="39"/>
    </row>
    <row r="2304" spans="7:39" s="4" customFormat="1" x14ac:dyDescent="0.3">
      <c r="G2304" s="6"/>
      <c r="AM2304" s="39"/>
    </row>
    <row r="2305" spans="7:39" s="4" customFormat="1" x14ac:dyDescent="0.3">
      <c r="G2305" s="6"/>
      <c r="AM2305" s="39"/>
    </row>
    <row r="2306" spans="7:39" s="4" customFormat="1" x14ac:dyDescent="0.3">
      <c r="G2306" s="6"/>
      <c r="AM2306" s="39"/>
    </row>
    <row r="2307" spans="7:39" s="4" customFormat="1" x14ac:dyDescent="0.3">
      <c r="G2307" s="6"/>
      <c r="AM2307" s="39"/>
    </row>
    <row r="2308" spans="7:39" s="4" customFormat="1" x14ac:dyDescent="0.3">
      <c r="G2308" s="6"/>
      <c r="AM2308" s="39"/>
    </row>
    <row r="2309" spans="7:39" s="4" customFormat="1" x14ac:dyDescent="0.3">
      <c r="G2309" s="6"/>
      <c r="AM2309" s="39"/>
    </row>
    <row r="2310" spans="7:39" s="4" customFormat="1" x14ac:dyDescent="0.3">
      <c r="G2310" s="6"/>
      <c r="AM2310" s="39"/>
    </row>
    <row r="2311" spans="7:39" s="4" customFormat="1" x14ac:dyDescent="0.3">
      <c r="G2311" s="6"/>
      <c r="AM2311" s="39"/>
    </row>
    <row r="2312" spans="7:39" s="4" customFormat="1" x14ac:dyDescent="0.3">
      <c r="G2312" s="6"/>
      <c r="AM2312" s="39"/>
    </row>
    <row r="2313" spans="7:39" s="4" customFormat="1" x14ac:dyDescent="0.3">
      <c r="G2313" s="6"/>
      <c r="AM2313" s="39"/>
    </row>
    <row r="2314" spans="7:39" s="4" customFormat="1" x14ac:dyDescent="0.3">
      <c r="G2314" s="6"/>
      <c r="AM2314" s="39"/>
    </row>
    <row r="2315" spans="7:39" s="4" customFormat="1" x14ac:dyDescent="0.3">
      <c r="G2315" s="6"/>
      <c r="AM2315" s="39"/>
    </row>
    <row r="2316" spans="7:39" s="4" customFormat="1" x14ac:dyDescent="0.3">
      <c r="G2316" s="6"/>
      <c r="AM2316" s="39"/>
    </row>
    <row r="2317" spans="7:39" s="4" customFormat="1" x14ac:dyDescent="0.3">
      <c r="G2317" s="6"/>
      <c r="AM2317" s="39"/>
    </row>
    <row r="2318" spans="7:39" s="4" customFormat="1" x14ac:dyDescent="0.3">
      <c r="G2318" s="6"/>
      <c r="AM2318" s="39"/>
    </row>
    <row r="2319" spans="7:39" s="4" customFormat="1" x14ac:dyDescent="0.3">
      <c r="G2319" s="6"/>
      <c r="AM2319" s="39"/>
    </row>
    <row r="2320" spans="7:39" s="4" customFormat="1" x14ac:dyDescent="0.3">
      <c r="G2320" s="6"/>
      <c r="AM2320" s="39"/>
    </row>
    <row r="2321" spans="7:39" s="4" customFormat="1" x14ac:dyDescent="0.3">
      <c r="G2321" s="6"/>
      <c r="AM2321" s="39"/>
    </row>
    <row r="2322" spans="7:39" s="4" customFormat="1" x14ac:dyDescent="0.3">
      <c r="G2322" s="6"/>
      <c r="AM2322" s="39"/>
    </row>
    <row r="2323" spans="7:39" s="4" customFormat="1" x14ac:dyDescent="0.3">
      <c r="G2323" s="6"/>
      <c r="AM2323" s="39"/>
    </row>
    <row r="2324" spans="7:39" s="4" customFormat="1" x14ac:dyDescent="0.3">
      <c r="G2324" s="6"/>
      <c r="AM2324" s="39"/>
    </row>
    <row r="2325" spans="7:39" s="4" customFormat="1" x14ac:dyDescent="0.3">
      <c r="G2325" s="6"/>
      <c r="AM2325" s="39"/>
    </row>
    <row r="2326" spans="7:39" s="4" customFormat="1" x14ac:dyDescent="0.3">
      <c r="G2326" s="6"/>
      <c r="AM2326" s="39"/>
    </row>
    <row r="2327" spans="7:39" s="4" customFormat="1" x14ac:dyDescent="0.3">
      <c r="G2327" s="6"/>
      <c r="AM2327" s="39"/>
    </row>
    <row r="2328" spans="7:39" s="4" customFormat="1" x14ac:dyDescent="0.3">
      <c r="G2328" s="6"/>
      <c r="AM2328" s="39"/>
    </row>
    <row r="2329" spans="7:39" s="4" customFormat="1" x14ac:dyDescent="0.3">
      <c r="G2329" s="6"/>
      <c r="AM2329" s="39"/>
    </row>
    <row r="2330" spans="7:39" s="4" customFormat="1" x14ac:dyDescent="0.3">
      <c r="G2330" s="6"/>
      <c r="AM2330" s="39"/>
    </row>
    <row r="2331" spans="7:39" s="4" customFormat="1" x14ac:dyDescent="0.3">
      <c r="G2331" s="6"/>
      <c r="AM2331" s="39"/>
    </row>
    <row r="2332" spans="7:39" s="4" customFormat="1" x14ac:dyDescent="0.3">
      <c r="G2332" s="6"/>
      <c r="AM2332" s="39"/>
    </row>
    <row r="2333" spans="7:39" s="4" customFormat="1" x14ac:dyDescent="0.3">
      <c r="G2333" s="6"/>
      <c r="AM2333" s="39"/>
    </row>
    <row r="2334" spans="7:39" s="4" customFormat="1" x14ac:dyDescent="0.3">
      <c r="G2334" s="6"/>
      <c r="AM2334" s="39"/>
    </row>
    <row r="2335" spans="7:39" s="4" customFormat="1" x14ac:dyDescent="0.3">
      <c r="G2335" s="6"/>
      <c r="AM2335" s="39"/>
    </row>
    <row r="2336" spans="7:39" s="4" customFormat="1" x14ac:dyDescent="0.3">
      <c r="G2336" s="6"/>
      <c r="AM2336" s="39"/>
    </row>
    <row r="2337" spans="7:39" s="4" customFormat="1" x14ac:dyDescent="0.3">
      <c r="G2337" s="6"/>
      <c r="AM2337" s="39"/>
    </row>
    <row r="2338" spans="7:39" s="4" customFormat="1" x14ac:dyDescent="0.3">
      <c r="G2338" s="6"/>
      <c r="AM2338" s="39"/>
    </row>
    <row r="2339" spans="7:39" s="4" customFormat="1" x14ac:dyDescent="0.3">
      <c r="G2339" s="6"/>
      <c r="AM2339" s="39"/>
    </row>
    <row r="2340" spans="7:39" s="4" customFormat="1" x14ac:dyDescent="0.3">
      <c r="G2340" s="6"/>
      <c r="AM2340" s="39"/>
    </row>
    <row r="2341" spans="7:39" s="4" customFormat="1" x14ac:dyDescent="0.3">
      <c r="G2341" s="6"/>
      <c r="AM2341" s="39"/>
    </row>
    <row r="2342" spans="7:39" s="4" customFormat="1" x14ac:dyDescent="0.3">
      <c r="G2342" s="6"/>
      <c r="AM2342" s="39"/>
    </row>
    <row r="2343" spans="7:39" s="4" customFormat="1" x14ac:dyDescent="0.3">
      <c r="G2343" s="6"/>
      <c r="AM2343" s="39"/>
    </row>
    <row r="2344" spans="7:39" s="4" customFormat="1" x14ac:dyDescent="0.3">
      <c r="G2344" s="6"/>
      <c r="AM2344" s="39"/>
    </row>
    <row r="2345" spans="7:39" s="4" customFormat="1" x14ac:dyDescent="0.3">
      <c r="G2345" s="6"/>
      <c r="AM2345" s="39"/>
    </row>
    <row r="2346" spans="7:39" s="4" customFormat="1" x14ac:dyDescent="0.3">
      <c r="G2346" s="6"/>
      <c r="AM2346" s="39"/>
    </row>
    <row r="2347" spans="7:39" s="4" customFormat="1" x14ac:dyDescent="0.3">
      <c r="G2347" s="6"/>
      <c r="AM2347" s="39"/>
    </row>
    <row r="2348" spans="7:39" s="4" customFormat="1" x14ac:dyDescent="0.3">
      <c r="G2348" s="6"/>
      <c r="AM2348" s="39"/>
    </row>
    <row r="2349" spans="7:39" s="4" customFormat="1" x14ac:dyDescent="0.3">
      <c r="G2349" s="6"/>
      <c r="AM2349" s="39"/>
    </row>
    <row r="2350" spans="7:39" s="4" customFormat="1" x14ac:dyDescent="0.3">
      <c r="G2350" s="6"/>
      <c r="AM2350" s="39"/>
    </row>
    <row r="2351" spans="7:39" s="4" customFormat="1" x14ac:dyDescent="0.3">
      <c r="G2351" s="6"/>
      <c r="AM2351" s="39"/>
    </row>
    <row r="2352" spans="7:39" s="4" customFormat="1" x14ac:dyDescent="0.3">
      <c r="G2352" s="6"/>
      <c r="AM2352" s="39"/>
    </row>
    <row r="2353" spans="7:39" s="4" customFormat="1" x14ac:dyDescent="0.3">
      <c r="G2353" s="6"/>
      <c r="AM2353" s="39"/>
    </row>
    <row r="2354" spans="7:39" s="4" customFormat="1" x14ac:dyDescent="0.3">
      <c r="G2354" s="6"/>
      <c r="AM2354" s="39"/>
    </row>
    <row r="2355" spans="7:39" s="4" customFormat="1" x14ac:dyDescent="0.3">
      <c r="G2355" s="6"/>
      <c r="AM2355" s="39"/>
    </row>
    <row r="2356" spans="7:39" s="4" customFormat="1" x14ac:dyDescent="0.3">
      <c r="G2356" s="6"/>
      <c r="AM2356" s="39"/>
    </row>
    <row r="2357" spans="7:39" s="4" customFormat="1" x14ac:dyDescent="0.3">
      <c r="G2357" s="6"/>
      <c r="AM2357" s="39"/>
    </row>
    <row r="2358" spans="7:39" s="4" customFormat="1" x14ac:dyDescent="0.3">
      <c r="G2358" s="6"/>
      <c r="AM2358" s="39"/>
    </row>
    <row r="2359" spans="7:39" s="4" customFormat="1" x14ac:dyDescent="0.3">
      <c r="G2359" s="6"/>
      <c r="AM2359" s="39"/>
    </row>
    <row r="2360" spans="7:39" s="4" customFormat="1" x14ac:dyDescent="0.3">
      <c r="G2360" s="6"/>
      <c r="AM2360" s="39"/>
    </row>
    <row r="2361" spans="7:39" s="4" customFormat="1" x14ac:dyDescent="0.3">
      <c r="G2361" s="6"/>
      <c r="AM2361" s="39"/>
    </row>
    <row r="2362" spans="7:39" s="4" customFormat="1" x14ac:dyDescent="0.3">
      <c r="G2362" s="6"/>
      <c r="AM2362" s="39"/>
    </row>
    <row r="2363" spans="7:39" s="4" customFormat="1" x14ac:dyDescent="0.3">
      <c r="G2363" s="6"/>
      <c r="AM2363" s="39"/>
    </row>
    <row r="2364" spans="7:39" s="4" customFormat="1" x14ac:dyDescent="0.3">
      <c r="G2364" s="6"/>
      <c r="AM2364" s="39"/>
    </row>
    <row r="2365" spans="7:39" s="4" customFormat="1" x14ac:dyDescent="0.3">
      <c r="G2365" s="6"/>
      <c r="AM2365" s="39"/>
    </row>
    <row r="2366" spans="7:39" s="4" customFormat="1" x14ac:dyDescent="0.3">
      <c r="G2366" s="6"/>
      <c r="AM2366" s="39"/>
    </row>
    <row r="2367" spans="7:39" s="4" customFormat="1" x14ac:dyDescent="0.3">
      <c r="G2367" s="6"/>
      <c r="AM2367" s="39"/>
    </row>
    <row r="2368" spans="7:39" s="4" customFormat="1" x14ac:dyDescent="0.3">
      <c r="G2368" s="6"/>
      <c r="AM2368" s="39"/>
    </row>
    <row r="2369" spans="7:39" s="4" customFormat="1" x14ac:dyDescent="0.3">
      <c r="G2369" s="6"/>
      <c r="AM2369" s="39"/>
    </row>
    <row r="2370" spans="7:39" s="4" customFormat="1" x14ac:dyDescent="0.3">
      <c r="G2370" s="6"/>
      <c r="AM2370" s="39"/>
    </row>
    <row r="2371" spans="7:39" s="4" customFormat="1" x14ac:dyDescent="0.3">
      <c r="G2371" s="6"/>
      <c r="AM2371" s="39"/>
    </row>
    <row r="2372" spans="7:39" s="4" customFormat="1" x14ac:dyDescent="0.3">
      <c r="G2372" s="6"/>
      <c r="AM2372" s="39"/>
    </row>
    <row r="2373" spans="7:39" s="4" customFormat="1" x14ac:dyDescent="0.3">
      <c r="G2373" s="6"/>
      <c r="AM2373" s="39"/>
    </row>
    <row r="2374" spans="7:39" s="4" customFormat="1" x14ac:dyDescent="0.3">
      <c r="G2374" s="6"/>
      <c r="AM2374" s="39"/>
    </row>
    <row r="2375" spans="7:39" s="4" customFormat="1" x14ac:dyDescent="0.3">
      <c r="G2375" s="6"/>
      <c r="AM2375" s="39"/>
    </row>
    <row r="2376" spans="7:39" s="4" customFormat="1" x14ac:dyDescent="0.3">
      <c r="G2376" s="6"/>
      <c r="AM2376" s="39"/>
    </row>
    <row r="2377" spans="7:39" s="4" customFormat="1" x14ac:dyDescent="0.3">
      <c r="G2377" s="6"/>
      <c r="AM2377" s="39"/>
    </row>
    <row r="2378" spans="7:39" s="4" customFormat="1" x14ac:dyDescent="0.3">
      <c r="G2378" s="6"/>
      <c r="AM2378" s="39"/>
    </row>
    <row r="2379" spans="7:39" s="4" customFormat="1" x14ac:dyDescent="0.3">
      <c r="G2379" s="6"/>
      <c r="AM2379" s="39"/>
    </row>
    <row r="2380" spans="7:39" s="4" customFormat="1" x14ac:dyDescent="0.3">
      <c r="G2380" s="6"/>
      <c r="AM2380" s="39"/>
    </row>
    <row r="2381" spans="7:39" s="4" customFormat="1" x14ac:dyDescent="0.3">
      <c r="G2381" s="6"/>
      <c r="AM2381" s="39"/>
    </row>
    <row r="2382" spans="7:39" s="4" customFormat="1" x14ac:dyDescent="0.3">
      <c r="G2382" s="6"/>
      <c r="AM2382" s="39"/>
    </row>
    <row r="2383" spans="7:39" s="4" customFormat="1" x14ac:dyDescent="0.3">
      <c r="G2383" s="6"/>
      <c r="AM2383" s="39"/>
    </row>
    <row r="2384" spans="7:39" s="4" customFormat="1" x14ac:dyDescent="0.3">
      <c r="G2384" s="6"/>
      <c r="AM2384" s="39"/>
    </row>
    <row r="2385" spans="7:39" s="4" customFormat="1" x14ac:dyDescent="0.3">
      <c r="G2385" s="6"/>
      <c r="AM2385" s="39"/>
    </row>
    <row r="2386" spans="7:39" s="4" customFormat="1" x14ac:dyDescent="0.3">
      <c r="G2386" s="6"/>
      <c r="AM2386" s="39"/>
    </row>
    <row r="2387" spans="7:39" s="4" customFormat="1" x14ac:dyDescent="0.3">
      <c r="G2387" s="6"/>
      <c r="AM2387" s="39"/>
    </row>
    <row r="2388" spans="7:39" s="4" customFormat="1" x14ac:dyDescent="0.3">
      <c r="G2388" s="6"/>
      <c r="AM2388" s="39"/>
    </row>
    <row r="2389" spans="7:39" s="4" customFormat="1" x14ac:dyDescent="0.3">
      <c r="G2389" s="6"/>
      <c r="AM2389" s="39"/>
    </row>
    <row r="2390" spans="7:39" s="4" customFormat="1" x14ac:dyDescent="0.3">
      <c r="G2390" s="6"/>
      <c r="AM2390" s="39"/>
    </row>
    <row r="2391" spans="7:39" s="4" customFormat="1" x14ac:dyDescent="0.3">
      <c r="G2391" s="6"/>
      <c r="AM2391" s="39"/>
    </row>
    <row r="2392" spans="7:39" s="4" customFormat="1" x14ac:dyDescent="0.3">
      <c r="G2392" s="6"/>
      <c r="AM2392" s="39"/>
    </row>
    <row r="2393" spans="7:39" s="4" customFormat="1" x14ac:dyDescent="0.3">
      <c r="G2393" s="6"/>
      <c r="AM2393" s="39"/>
    </row>
    <row r="2394" spans="7:39" s="4" customFormat="1" x14ac:dyDescent="0.3">
      <c r="G2394" s="6"/>
      <c r="AM2394" s="39"/>
    </row>
    <row r="2395" spans="7:39" s="4" customFormat="1" x14ac:dyDescent="0.3">
      <c r="G2395" s="6"/>
      <c r="AM2395" s="39"/>
    </row>
    <row r="2396" spans="7:39" s="4" customFormat="1" x14ac:dyDescent="0.3">
      <c r="G2396" s="6"/>
      <c r="AM2396" s="39"/>
    </row>
    <row r="2397" spans="7:39" s="4" customFormat="1" x14ac:dyDescent="0.3">
      <c r="G2397" s="6"/>
      <c r="AM2397" s="39"/>
    </row>
    <row r="2398" spans="7:39" s="4" customFormat="1" x14ac:dyDescent="0.3">
      <c r="G2398" s="6"/>
      <c r="AM2398" s="39"/>
    </row>
    <row r="2399" spans="7:39" s="4" customFormat="1" x14ac:dyDescent="0.3">
      <c r="G2399" s="6"/>
      <c r="AM2399" s="39"/>
    </row>
    <row r="2400" spans="7:39" s="4" customFormat="1" x14ac:dyDescent="0.3">
      <c r="G2400" s="6"/>
      <c r="AM2400" s="39"/>
    </row>
    <row r="2401" spans="7:39" s="4" customFormat="1" x14ac:dyDescent="0.3">
      <c r="G2401" s="6"/>
      <c r="AM2401" s="39"/>
    </row>
    <row r="2402" spans="7:39" s="4" customFormat="1" x14ac:dyDescent="0.3">
      <c r="G2402" s="6"/>
      <c r="AM2402" s="39"/>
    </row>
    <row r="2403" spans="7:39" s="4" customFormat="1" x14ac:dyDescent="0.3">
      <c r="G2403" s="6"/>
      <c r="AM2403" s="39"/>
    </row>
    <row r="2404" spans="7:39" s="4" customFormat="1" x14ac:dyDescent="0.3">
      <c r="G2404" s="6"/>
      <c r="AM2404" s="39"/>
    </row>
    <row r="2405" spans="7:39" s="4" customFormat="1" x14ac:dyDescent="0.3">
      <c r="G2405" s="6"/>
      <c r="AM2405" s="39"/>
    </row>
    <row r="2406" spans="7:39" s="4" customFormat="1" x14ac:dyDescent="0.3">
      <c r="G2406" s="6"/>
      <c r="AM2406" s="39"/>
    </row>
    <row r="2407" spans="7:39" s="4" customFormat="1" x14ac:dyDescent="0.3">
      <c r="G2407" s="6"/>
      <c r="AM2407" s="39"/>
    </row>
    <row r="2408" spans="7:39" s="4" customFormat="1" x14ac:dyDescent="0.3">
      <c r="G2408" s="6"/>
      <c r="AM2408" s="39"/>
    </row>
    <row r="2409" spans="7:39" s="4" customFormat="1" x14ac:dyDescent="0.3">
      <c r="G2409" s="6"/>
      <c r="AM2409" s="39"/>
    </row>
    <row r="2410" spans="7:39" s="4" customFormat="1" x14ac:dyDescent="0.3">
      <c r="G2410" s="6"/>
      <c r="AM2410" s="39"/>
    </row>
    <row r="2411" spans="7:39" s="4" customFormat="1" x14ac:dyDescent="0.3">
      <c r="G2411" s="6"/>
      <c r="AM2411" s="39"/>
    </row>
    <row r="2412" spans="7:39" s="4" customFormat="1" x14ac:dyDescent="0.3">
      <c r="G2412" s="6"/>
      <c r="AM2412" s="39"/>
    </row>
    <row r="2413" spans="7:39" s="4" customFormat="1" x14ac:dyDescent="0.3">
      <c r="G2413" s="6"/>
      <c r="AM2413" s="39"/>
    </row>
    <row r="2414" spans="7:39" s="4" customFormat="1" x14ac:dyDescent="0.3">
      <c r="G2414" s="6"/>
      <c r="AM2414" s="39"/>
    </row>
    <row r="2415" spans="7:39" s="4" customFormat="1" x14ac:dyDescent="0.3">
      <c r="G2415" s="6"/>
      <c r="AM2415" s="39"/>
    </row>
    <row r="2416" spans="7:39" s="4" customFormat="1" x14ac:dyDescent="0.3">
      <c r="G2416" s="6"/>
      <c r="AM2416" s="39"/>
    </row>
    <row r="2417" spans="7:39" s="4" customFormat="1" x14ac:dyDescent="0.3">
      <c r="G2417" s="6"/>
      <c r="AM2417" s="39"/>
    </row>
    <row r="2418" spans="7:39" s="4" customFormat="1" x14ac:dyDescent="0.3">
      <c r="G2418" s="6"/>
      <c r="AM2418" s="39"/>
    </row>
    <row r="2419" spans="7:39" s="4" customFormat="1" x14ac:dyDescent="0.3">
      <c r="G2419" s="6"/>
      <c r="AM2419" s="39"/>
    </row>
    <row r="2420" spans="7:39" s="4" customFormat="1" x14ac:dyDescent="0.3">
      <c r="G2420" s="6"/>
      <c r="AM2420" s="39"/>
    </row>
    <row r="2421" spans="7:39" s="4" customFormat="1" x14ac:dyDescent="0.3">
      <c r="G2421" s="6"/>
      <c r="AM2421" s="39"/>
    </row>
    <row r="2422" spans="7:39" s="4" customFormat="1" x14ac:dyDescent="0.3">
      <c r="G2422" s="6"/>
      <c r="AM2422" s="39"/>
    </row>
    <row r="2423" spans="7:39" s="4" customFormat="1" x14ac:dyDescent="0.3">
      <c r="G2423" s="6"/>
      <c r="AM2423" s="39"/>
    </row>
    <row r="2424" spans="7:39" s="4" customFormat="1" x14ac:dyDescent="0.3">
      <c r="G2424" s="6"/>
      <c r="AM2424" s="39"/>
    </row>
    <row r="2425" spans="7:39" s="4" customFormat="1" x14ac:dyDescent="0.3">
      <c r="G2425" s="6"/>
      <c r="AM2425" s="39"/>
    </row>
    <row r="2426" spans="7:39" s="4" customFormat="1" x14ac:dyDescent="0.3">
      <c r="G2426" s="6"/>
      <c r="AM2426" s="39"/>
    </row>
    <row r="2427" spans="7:39" s="4" customFormat="1" x14ac:dyDescent="0.3">
      <c r="G2427" s="6"/>
      <c r="AM2427" s="39"/>
    </row>
    <row r="2428" spans="7:39" s="4" customFormat="1" x14ac:dyDescent="0.3">
      <c r="G2428" s="6"/>
      <c r="AM2428" s="39"/>
    </row>
    <row r="2429" spans="7:39" s="4" customFormat="1" x14ac:dyDescent="0.3">
      <c r="G2429" s="6"/>
      <c r="AM2429" s="39"/>
    </row>
    <row r="2430" spans="7:39" s="4" customFormat="1" x14ac:dyDescent="0.3">
      <c r="G2430" s="6"/>
      <c r="AM2430" s="39"/>
    </row>
    <row r="2431" spans="7:39" s="4" customFormat="1" x14ac:dyDescent="0.3">
      <c r="G2431" s="6"/>
      <c r="AM2431" s="39"/>
    </row>
    <row r="2432" spans="7:39" s="4" customFormat="1" x14ac:dyDescent="0.3">
      <c r="G2432" s="6"/>
      <c r="AM2432" s="39"/>
    </row>
    <row r="2433" spans="7:39" s="4" customFormat="1" x14ac:dyDescent="0.3">
      <c r="G2433" s="6"/>
      <c r="AM2433" s="39"/>
    </row>
    <row r="2434" spans="7:39" s="4" customFormat="1" x14ac:dyDescent="0.3">
      <c r="G2434" s="6"/>
      <c r="AM2434" s="39"/>
    </row>
    <row r="2435" spans="7:39" s="4" customFormat="1" x14ac:dyDescent="0.3">
      <c r="G2435" s="6"/>
      <c r="AM2435" s="39"/>
    </row>
    <row r="2436" spans="7:39" s="4" customFormat="1" x14ac:dyDescent="0.3">
      <c r="G2436" s="6"/>
      <c r="AM2436" s="39"/>
    </row>
    <row r="2437" spans="7:39" s="4" customFormat="1" x14ac:dyDescent="0.3">
      <c r="G2437" s="6"/>
      <c r="AM2437" s="39"/>
    </row>
    <row r="2438" spans="7:39" s="4" customFormat="1" x14ac:dyDescent="0.3">
      <c r="G2438" s="6"/>
      <c r="AM2438" s="39"/>
    </row>
    <row r="2439" spans="7:39" s="4" customFormat="1" x14ac:dyDescent="0.3">
      <c r="G2439" s="6"/>
      <c r="AM2439" s="39"/>
    </row>
    <row r="2440" spans="7:39" s="4" customFormat="1" x14ac:dyDescent="0.3">
      <c r="G2440" s="6"/>
      <c r="AM2440" s="39"/>
    </row>
    <row r="2441" spans="7:39" s="4" customFormat="1" x14ac:dyDescent="0.3">
      <c r="G2441" s="6"/>
      <c r="AM2441" s="39"/>
    </row>
    <row r="2442" spans="7:39" s="4" customFormat="1" x14ac:dyDescent="0.3">
      <c r="G2442" s="6"/>
      <c r="AM2442" s="39"/>
    </row>
    <row r="2443" spans="7:39" s="4" customFormat="1" x14ac:dyDescent="0.3">
      <c r="G2443" s="6"/>
      <c r="AM2443" s="39"/>
    </row>
    <row r="2444" spans="7:39" s="4" customFormat="1" x14ac:dyDescent="0.3">
      <c r="G2444" s="6"/>
      <c r="AM2444" s="39"/>
    </row>
    <row r="2445" spans="7:39" s="4" customFormat="1" x14ac:dyDescent="0.3">
      <c r="G2445" s="6"/>
      <c r="AM2445" s="39"/>
    </row>
    <row r="2446" spans="7:39" s="4" customFormat="1" x14ac:dyDescent="0.3">
      <c r="G2446" s="6"/>
      <c r="AM2446" s="39"/>
    </row>
    <row r="2447" spans="7:39" s="4" customFormat="1" x14ac:dyDescent="0.3">
      <c r="G2447" s="6"/>
      <c r="AM2447" s="39"/>
    </row>
    <row r="2448" spans="7:39" s="4" customFormat="1" x14ac:dyDescent="0.3">
      <c r="G2448" s="6"/>
      <c r="AM2448" s="39"/>
    </row>
    <row r="2449" spans="7:39" s="4" customFormat="1" x14ac:dyDescent="0.3">
      <c r="G2449" s="6"/>
      <c r="AM2449" s="39"/>
    </row>
    <row r="2450" spans="7:39" s="4" customFormat="1" x14ac:dyDescent="0.3">
      <c r="G2450" s="6"/>
      <c r="AM2450" s="39"/>
    </row>
    <row r="2451" spans="7:39" s="4" customFormat="1" x14ac:dyDescent="0.3">
      <c r="G2451" s="6"/>
      <c r="AM2451" s="39"/>
    </row>
    <row r="2452" spans="7:39" s="4" customFormat="1" x14ac:dyDescent="0.3">
      <c r="G2452" s="6"/>
      <c r="AM2452" s="39"/>
    </row>
    <row r="2453" spans="7:39" s="4" customFormat="1" x14ac:dyDescent="0.3">
      <c r="G2453" s="6"/>
      <c r="AM2453" s="39"/>
    </row>
    <row r="2454" spans="7:39" s="4" customFormat="1" x14ac:dyDescent="0.3">
      <c r="G2454" s="6"/>
      <c r="AM2454" s="39"/>
    </row>
    <row r="2455" spans="7:39" s="4" customFormat="1" x14ac:dyDescent="0.3">
      <c r="G2455" s="6"/>
      <c r="AM2455" s="39"/>
    </row>
    <row r="2456" spans="7:39" s="4" customFormat="1" x14ac:dyDescent="0.3">
      <c r="G2456" s="6"/>
      <c r="AM2456" s="39"/>
    </row>
    <row r="2457" spans="7:39" s="4" customFormat="1" x14ac:dyDescent="0.3">
      <c r="G2457" s="6"/>
      <c r="AM2457" s="39"/>
    </row>
    <row r="2458" spans="7:39" s="4" customFormat="1" x14ac:dyDescent="0.3">
      <c r="G2458" s="6"/>
      <c r="AM2458" s="39"/>
    </row>
    <row r="2459" spans="7:39" s="4" customFormat="1" x14ac:dyDescent="0.3">
      <c r="G2459" s="6"/>
      <c r="AM2459" s="39"/>
    </row>
    <row r="2460" spans="7:39" s="4" customFormat="1" x14ac:dyDescent="0.3">
      <c r="G2460" s="6"/>
      <c r="AM2460" s="39"/>
    </row>
    <row r="2461" spans="7:39" s="4" customFormat="1" x14ac:dyDescent="0.3">
      <c r="G2461" s="6"/>
      <c r="AM2461" s="39"/>
    </row>
    <row r="2462" spans="7:39" s="4" customFormat="1" x14ac:dyDescent="0.3">
      <c r="G2462" s="6"/>
      <c r="AM2462" s="39"/>
    </row>
    <row r="2463" spans="7:39" s="4" customFormat="1" x14ac:dyDescent="0.3">
      <c r="G2463" s="6"/>
      <c r="AM2463" s="39"/>
    </row>
    <row r="2464" spans="7:39" s="4" customFormat="1" x14ac:dyDescent="0.3">
      <c r="G2464" s="6"/>
      <c r="AM2464" s="39"/>
    </row>
    <row r="2465" spans="7:39" s="4" customFormat="1" x14ac:dyDescent="0.3">
      <c r="G2465" s="6"/>
      <c r="AM2465" s="39"/>
    </row>
    <row r="2466" spans="7:39" s="4" customFormat="1" x14ac:dyDescent="0.3">
      <c r="G2466" s="6"/>
      <c r="AM2466" s="39"/>
    </row>
    <row r="2467" spans="7:39" s="4" customFormat="1" x14ac:dyDescent="0.3">
      <c r="G2467" s="6"/>
      <c r="AM2467" s="39"/>
    </row>
    <row r="2468" spans="7:39" s="4" customFormat="1" x14ac:dyDescent="0.3">
      <c r="G2468" s="6"/>
      <c r="AM2468" s="39"/>
    </row>
    <row r="2469" spans="7:39" s="4" customFormat="1" x14ac:dyDescent="0.3">
      <c r="G2469" s="6"/>
      <c r="AM2469" s="39"/>
    </row>
    <row r="2470" spans="7:39" s="4" customFormat="1" x14ac:dyDescent="0.3">
      <c r="G2470" s="6"/>
      <c r="AM2470" s="39"/>
    </row>
    <row r="2471" spans="7:39" s="4" customFormat="1" x14ac:dyDescent="0.3">
      <c r="G2471" s="6"/>
      <c r="AM2471" s="39"/>
    </row>
    <row r="2472" spans="7:39" s="4" customFormat="1" x14ac:dyDescent="0.3">
      <c r="G2472" s="6"/>
      <c r="AM2472" s="39"/>
    </row>
    <row r="2473" spans="7:39" s="4" customFormat="1" x14ac:dyDescent="0.3">
      <c r="G2473" s="6"/>
      <c r="AM2473" s="39"/>
    </row>
    <row r="2474" spans="7:39" s="4" customFormat="1" x14ac:dyDescent="0.3">
      <c r="G2474" s="6"/>
      <c r="AM2474" s="39"/>
    </row>
    <row r="2475" spans="7:39" s="4" customFormat="1" x14ac:dyDescent="0.3">
      <c r="G2475" s="6"/>
      <c r="AM2475" s="39"/>
    </row>
    <row r="2476" spans="7:39" s="4" customFormat="1" x14ac:dyDescent="0.3">
      <c r="G2476" s="6"/>
      <c r="AM2476" s="39"/>
    </row>
    <row r="2477" spans="7:39" s="4" customFormat="1" x14ac:dyDescent="0.3">
      <c r="G2477" s="6"/>
      <c r="AM2477" s="39"/>
    </row>
    <row r="2478" spans="7:39" s="4" customFormat="1" x14ac:dyDescent="0.3">
      <c r="G2478" s="6"/>
      <c r="AM2478" s="39"/>
    </row>
    <row r="2479" spans="7:39" s="4" customFormat="1" x14ac:dyDescent="0.3">
      <c r="G2479" s="6"/>
      <c r="AM2479" s="39"/>
    </row>
    <row r="2480" spans="7:39" s="4" customFormat="1" x14ac:dyDescent="0.3">
      <c r="G2480" s="6"/>
      <c r="AM2480" s="39"/>
    </row>
    <row r="2481" spans="7:39" s="4" customFormat="1" x14ac:dyDescent="0.3">
      <c r="G2481" s="6"/>
      <c r="AM2481" s="39"/>
    </row>
    <row r="2482" spans="7:39" s="4" customFormat="1" x14ac:dyDescent="0.3">
      <c r="G2482" s="6"/>
      <c r="AM2482" s="39"/>
    </row>
    <row r="2483" spans="7:39" s="4" customFormat="1" x14ac:dyDescent="0.3">
      <c r="G2483" s="6"/>
      <c r="AM2483" s="39"/>
    </row>
    <row r="2484" spans="7:39" s="4" customFormat="1" x14ac:dyDescent="0.3">
      <c r="G2484" s="6"/>
      <c r="AM2484" s="39"/>
    </row>
    <row r="2485" spans="7:39" s="4" customFormat="1" x14ac:dyDescent="0.3">
      <c r="G2485" s="6"/>
      <c r="AM2485" s="39"/>
    </row>
    <row r="2486" spans="7:39" s="4" customFormat="1" x14ac:dyDescent="0.3">
      <c r="G2486" s="6"/>
      <c r="AM2486" s="39"/>
    </row>
    <row r="2487" spans="7:39" s="4" customFormat="1" x14ac:dyDescent="0.3">
      <c r="G2487" s="6"/>
      <c r="AM2487" s="39"/>
    </row>
    <row r="2488" spans="7:39" s="4" customFormat="1" x14ac:dyDescent="0.3">
      <c r="G2488" s="6"/>
      <c r="AM2488" s="39"/>
    </row>
    <row r="2489" spans="7:39" s="4" customFormat="1" x14ac:dyDescent="0.3">
      <c r="G2489" s="6"/>
      <c r="AM2489" s="39"/>
    </row>
    <row r="2490" spans="7:39" s="4" customFormat="1" x14ac:dyDescent="0.3">
      <c r="G2490" s="6"/>
      <c r="AM2490" s="39"/>
    </row>
  </sheetData>
  <mergeCells count="3">
    <mergeCell ref="A3:AL3"/>
    <mergeCell ref="A4:AL4"/>
    <mergeCell ref="A5:AL5"/>
  </mergeCells>
  <conditionalFormatting sqref="C179:AR179">
    <cfRule type="cellIs" dxfId="0" priority="1" operator="notEqual">
      <formula>0</formula>
    </cfRule>
  </conditionalFormatting>
  <printOptions horizontalCentered="1" verticalCentered="1"/>
  <pageMargins left="0.39370078740157483" right="0.39370078740157483" top="0.59055118110236227" bottom="0.78740157480314965" header="0" footer="0"/>
  <pageSetup scale="35" orientation="landscape" r:id="rId1"/>
  <headerFooter alignWithMargins="0"/>
  <ignoredErrors>
    <ignoredError sqref="A20:A150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ocumento xmlns="50abafa8-8d0f-4365-bb5b-047cbe3b7252">Producción cobre de mina por empresa</Tipo_x0020_Documento>
    <Orden xmlns="50abafa8-8d0f-4365-bb5b-047cbe3b7252">1</Orden>
    <Frecuencia xmlns="50abafa8-8d0f-4365-bb5b-047cbe3b7252">Mensual</Frecuenci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29C76DEC4B3D468493B658F05F98F5" ma:contentTypeVersion="3" ma:contentTypeDescription="Crear nuevo documento." ma:contentTypeScope="" ma:versionID="bd340c60176f87784cea6003d7f03442">
  <xsd:schema xmlns:xsd="http://www.w3.org/2001/XMLSchema" xmlns:xs="http://www.w3.org/2001/XMLSchema" xmlns:p="http://schemas.microsoft.com/office/2006/metadata/properties" xmlns:ns2="50abafa8-8d0f-4365-bb5b-047cbe3b7252" targetNamespace="http://schemas.microsoft.com/office/2006/metadata/properties" ma:root="true" ma:fieldsID="66bfcf2b8440284250d7a03615880c71" ns2:_="">
    <xsd:import namespace="50abafa8-8d0f-4365-bb5b-047cbe3b7252"/>
    <xsd:element name="properties">
      <xsd:complexType>
        <xsd:sequence>
          <xsd:element name="documentManagement">
            <xsd:complexType>
              <xsd:all>
                <xsd:element ref="ns2:Tipo_x0020_Documento" minOccurs="0"/>
                <xsd:element ref="ns2:Frecuencia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bafa8-8d0f-4365-bb5b-047cbe3b7252" elementFormDefault="qualified">
    <xsd:import namespace="http://schemas.microsoft.com/office/2006/documentManagement/types"/>
    <xsd:import namespace="http://schemas.microsoft.com/office/infopath/2007/PartnerControls"/>
    <xsd:element name="Tipo_x0020_Documento" ma:index="8" nillable="true" ma:displayName="Tipo Documento" ma:default="Producción cobre de mina por empresa" ma:format="Dropdown" ma:internalName="Tipo_x0020_Documento">
      <xsd:simpleType>
        <xsd:restriction base="dms:Choice">
          <xsd:enumeration value="Producción cobre de mina por empresa"/>
          <xsd:enumeration value="Producción cobre de mina mundial y Chile"/>
          <xsd:enumeration value="Producción cobre de fundición mundial y Chile"/>
          <xsd:enumeration value="Producción cobre refinado mundial y Chile"/>
          <xsd:enumeration value="Producción molibdeno por empresas"/>
          <xsd:enumeration value="Producción chilena de cobre por producto"/>
        </xsd:restriction>
      </xsd:simpleType>
    </xsd:element>
    <xsd:element name="Frecuencia" ma:index="9" nillable="true" ma:displayName="Frecuencia" ma:default="Mensual" ma:format="Dropdown" ma:internalName="Frecuencia">
      <xsd:simpleType>
        <xsd:restriction base="dms:Choice">
          <xsd:enumeration value="Mensual"/>
          <xsd:enumeration value="Anual"/>
        </xsd:restriction>
      </xsd:simpleType>
    </xsd:element>
    <xsd:element name="Orden" ma:index="10" nillable="true" ma:displayName="Orden" ma:decimals="0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CF2EC3-B7E9-493F-B5B8-5C85B53B5F21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0abafa8-8d0f-4365-bb5b-047cbe3b725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48D6247-30CF-47C2-8F7C-73411364F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bafa8-8d0f-4365-bb5b-047cbe3b7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574F07-E510-4CBC-A121-456CF10750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Prod.Cu-Mina x Faena (2014+)</vt:lpstr>
      <vt:lpstr>'Prod.Cu-Mina x Faena (2014+)'!Área_de_impresión</vt:lpstr>
    </vt:vector>
  </TitlesOfParts>
  <Company>COCHILCO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Producción cobre de mina por empresa</dc:title>
  <dc:creator>pmaldona</dc:creator>
  <cp:lastModifiedBy>Juan Silva Garcia</cp:lastModifiedBy>
  <cp:lastPrinted>2014-06-18T15:31:20Z</cp:lastPrinted>
  <dcterms:created xsi:type="dcterms:W3CDTF">2013-02-04T18:57:54Z</dcterms:created>
  <dcterms:modified xsi:type="dcterms:W3CDTF">2026-05-12T14:26:08Z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{838EF8C1-813B-4E73-8734-06604A29273D}</vt:lpwstr>
  </property>
  <property fmtid="{D5CDD505-2E9C-101B-9397-08002B2CF9AE}" pid="3" name="ContentTypeId">
    <vt:lpwstr>0x0101003F29C76DEC4B3D468493B658F05F98F5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2025-01-14T15:12:08Z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a7a5ae70-07c3-4e2e-bcda-308d851c6598</vt:lpwstr>
  </property>
  <property fmtid="{D5CDD505-2E9C-101B-9397-08002B2CF9AE}" pid="9" name="MSIP_Label_defa4170-0d19-0005-0004-bc88714345d2_ActionId">
    <vt:lpwstr>1ffa10f5-1738-41a8-a210-c470079f616c</vt:lpwstr>
  </property>
  <property fmtid="{D5CDD505-2E9C-101B-9397-08002B2CF9AE}" pid="10" name="MSIP_Label_defa4170-0d19-0005-0004-bc88714345d2_ContentBits">
    <vt:lpwstr>0</vt:lpwstr>
  </property>
</Properties>
</file>